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neas_Produccion"/>
    <sheet r:id="rId2" sheetId="2" name="Modelos"/>
    <sheet r:id="rId3" sheetId="3" name="Volumenes_Produccion"/>
    <sheet r:id="rId4" sheetId="4" name="Plan for run the model"/>
    <sheet r:id="rId5" sheetId="5" name="SMT Settings"/>
    <sheet r:id="rId6" sheetId="6" name="ICT Settings"/>
    <sheet r:id="rId7" sheetId="7" name="WS Settings"/>
    <sheet r:id="rId8" sheetId="8" name="FA Settings"/>
    <sheet r:id="rId9" sheetId="9" name="Test Settings"/>
    <sheet r:id="rId10" sheetId="10" name="Vol all combined"/>
    <sheet r:id="rId11" sheetId="11" name="Resultados_SMT"/>
    <sheet r:id="rId12" sheetId="12" name="Resultados_ICT"/>
    <sheet r:id="rId13" sheetId="13" name="Resultados_Wave Solder"/>
    <sheet r:id="rId14" sheetId="14" name="Resultados_Selective Solder"/>
    <sheet r:id="rId15" sheetId="15" name="Resultados_Conformal"/>
    <sheet r:id="rId16" sheetId="16" name="Resultados_Router"/>
    <sheet r:id="rId17" sheetId="17" name="Resultados_FSW"/>
    <sheet r:id="rId18" sheetId="18" name="Resultados_Final Assembly"/>
    <sheet r:id="rId19" sheetId="19" name="Resultados_Subassembly"/>
    <sheet r:id="rId20" sheetId="20" name="Resultados_Test"/>
  </sheets>
  <definedNames>
    <definedName name="_?">'[1]CD-실적'!#REF!</definedName>
    <definedName name="_?0_F">'[1]CD-실적'!#REF!</definedName>
    <definedName name="__?">'[1]CD-실적'!#REF!</definedName>
    <definedName name="__?0_F">'[1]CD-실적'!#REF!</definedName>
    <definedName name="___?">'[1]CD-실적'!#REF!</definedName>
    <definedName name="___?0_F">'[1]CD-실적'!#REF!</definedName>
    <definedName name="____?">'[1]CD-실적'!#REF!</definedName>
    <definedName name="____?0_F">'[1]CD-실적'!#REF!</definedName>
    <definedName name="_____?0_F">'[1]CD-실적'!#REF!</definedName>
    <definedName name="______?0_F">'[1]CD-실적'!#REF!</definedName>
    <definedName name="_______?0_F">'[1]CD-실적'!#REF!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6">#REF!</definedName>
    <definedName name="___DAT7">#REF!</definedName>
    <definedName name="___DAT9">#REF!</definedName>
    <definedName name="__123Graph_A">'[2]LC''S BY BANK'!#REF!</definedName>
    <definedName name="__123Graph_ACorrente">[3]FIAT!#REF!</definedName>
    <definedName name="__123Graph_B">'[2]LC''S BY BANK'!#REF!</definedName>
    <definedName name="__123Graph_BCorrente">[3]FIAT!#REF!</definedName>
    <definedName name="__123Graph_C">'[4]Old CISCO 10_1_98'!#REF!</definedName>
    <definedName name="__123Graph_CCorrente">[3]FIAT!#REF!</definedName>
    <definedName name="__123Graph_D">'[5]Equip Rental'!#REF!</definedName>
    <definedName name="__123Graph_DCorrente">[3]FIAT!#REF!</definedName>
    <definedName name="__123Graph_E">[3]FIAT!#REF!</definedName>
    <definedName name="__123Graph_ECorrente">[3]FIAT!#REF!</definedName>
    <definedName name="__123Graph_F">'[4]Old CISCO 10_1_98'!#REF!</definedName>
    <definedName name="__123Graph_FCorrente">[3]FIAT!#REF!</definedName>
    <definedName name="__123Graph_X">'[6]#RIF'!#REF!</definedName>
    <definedName name="__15Jun_V05_vs_V04A">#REF!</definedName>
    <definedName name="__A72001">#REF!</definedName>
    <definedName name="__B65553">#REF!</definedName>
    <definedName name="__DAT2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5">#REF!</definedName>
    <definedName name="__DAT8">#REF!</definedName>
    <definedName name="__FDS_HYPERLINK_TOGGLE_STATE__">"ON"</definedName>
    <definedName name="__New2">{#N/A,#N/A,FALSE,"BS 16";#N/A,#N/A,FALSE,"BS 16-A";#N/A,#N/A,FALSE,"BS 16-B";#N/A,#N/A,FALSE,"BS 16-C";#N/A,#N/A,FALSE,"NAO BS 16";#N/A,#N/A,FALSE,"Attach A (1998 Targets)"}</definedName>
    <definedName name="__New2006">{#N/A,#N/A,FALSE,"BS 16";#N/A,#N/A,FALSE,"BS 16-A";#N/A,#N/A,FALSE,"BS 16-B";#N/A,#N/A,FALSE,"BS 16-C";#N/A,#N/A,FALSE,"NAO BS 16";#N/A,#N/A,FALSE,"Attach A (1998 Targets)"}</definedName>
    <definedName name="__op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_op2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_pg1">#REF!</definedName>
    <definedName name="_1_?__F">'[1]CD-실적'!#REF!</definedName>
    <definedName name="_1_?0_F">'[1]CD-실적'!#REF!</definedName>
    <definedName name="_10_?__F">'[1]CD-실적'!#REF!</definedName>
    <definedName name="_10_?0_F">#REF!</definedName>
    <definedName name="_12_?0_F">'[1]CD-실적'!#REF!</definedName>
    <definedName name="_14_?__F">'[1]CD-실적'!#REF!</definedName>
    <definedName name="_14_?0_F">'[1]CD-실적'!#REF!</definedName>
    <definedName name="_15_?0_F">'[1]CD-실적'!#REF!</definedName>
    <definedName name="_15Jun_V05_vs_V04A">#REF!</definedName>
    <definedName name="_19_?0_F">#REF!</definedName>
    <definedName name="_1PTIgnition">#REF!</definedName>
    <definedName name="_2_?0_F">#REF!</definedName>
    <definedName name="_2_15Jun_V05_vs_V04A">#REF!</definedName>
    <definedName name="_21_?__F">'[1]CD-실적'!#REF!</definedName>
    <definedName name="_24_?0_F">'[1]CD-실적'!#REF!</definedName>
    <definedName name="_4_1_96">#REF!</definedName>
    <definedName name="_4_15_96">#REF!</definedName>
    <definedName name="_4_8_96">#REF!</definedName>
    <definedName name="_7_?__F">'[1]CD-실적'!#REF!</definedName>
    <definedName name="_8_?__F">'[1]CD-실적'!#REF!</definedName>
    <definedName name="_8_?0_F">'[1]CD-실적'!#REF!</definedName>
    <definedName name="_A72001">#REF!</definedName>
    <definedName name="_al1">{#N/A,#N/A,FALSE,"SUMMARY";#N/A,#N/A,FALSE,"TOTAL AF";#N/A,#N/A,FALSE,"May A"}</definedName>
    <definedName name="_Ala1">{#N/A,#N/A,FALSE,"SUMMARY";#N/A,#N/A,FALSE,"TOTAL AF";#N/A,#N/A,FALSE,"May A"}</definedName>
    <definedName name="_B65553">#REF!</definedName>
    <definedName name="_bdm.0535AF3FEAB54611A40A1A3BE2413359.edm">'[7]Packard Comps - EBITDAR'!$A:$IV</definedName>
    <definedName name="_bdm.10183C9F4B5643AFBC9F6BA3ACB2EAD7.edm">'[7]Thermal Comps - EBITDAR'!$A:$IV</definedName>
    <definedName name="_bdm.116D8C4BA7C54A88BEB63F4C02D53996.edm">'[8]Precedent Graphs'!$A:$IV</definedName>
    <definedName name="_bdm.17EE73D67BCE4647BE84F73DFA5FAADE.edm">'[8]DPSS-IAM'!$A:$IV</definedName>
    <definedName name="_bdm.1A9B7B812748475DA5E4E1053F83116F.edm">'[8]DPSS-Diesel'!$A:$IV</definedName>
    <definedName name="_bdm.260AAF0A33C1412AB33C64F9F30CF148.edm">'[7]DPSS Comps - EBITDAR'!$A:$IV</definedName>
    <definedName name="_bdm.2AC6AA60081D4039BFE262D59EE69925.edm">'[7]Powertrain Comps - EBITDAR'!$A:$IV</definedName>
    <definedName name="_bdm.2D76C9436F4F410CB2053772C7D26D33.edm">'[8]EBITDAR - CapEx Margin'!$A:$IV</definedName>
    <definedName name="_bdm.473702B5E92A4603A59B43ABF24FA097.edm">'[8]Multiples by Div'!$A:$IV</definedName>
    <definedName name="_bdm.4AE3B5D43DFB45409148874F935F2AFB.edm">'[8]Revenue + Master'!$A:$IV</definedName>
    <definedName name="_bdm.612518F1F97A496FAF2E40264F19FF95.edm">'[7]Packard BBP'!$A:$IV</definedName>
    <definedName name="_bdm.864DE9364D044235970B3BC261893DB0.edm">'[8]DPSS-CE&amp;Other'!$A:$IV</definedName>
    <definedName name="_bdm.8BB048BB8084469493AEEA1759E71F8C.edm">'[8]Trading Multiples'!$A:$IV</definedName>
    <definedName name="_bdm.90E1013A56694A1EBED5983BCCCAD820.edm">'[7]E&amp;S Comps - EBITDAR'!$A:$IV</definedName>
    <definedName name="_bdm.ACCE634081F84F9CBAB62183B28B70EC.edm">'[7]E&amp;S BBP'!$A:$IV</definedName>
    <definedName name="_bdm.B8B49901146C4EFC916C1939157F5695.edm">'[8]EBITDARP Margin'!$A:$IV</definedName>
    <definedName name="_bdm.C0C7DB9398444F7EA7755A650880F93C.edm">'[7]Powertrain EBITDAR - CapEx'!$A:$IV</definedName>
    <definedName name="_bdm.C623D727979A40ABAA6D9CFA479EF298.edm">'[7]DPSS - BBP'!$A:$IV</definedName>
    <definedName name="_bdm.C7013744E8EA4B0295A373B7438EBF3D.edm">'[7]Powertrain BBP'!$A:$IV</definedName>
    <definedName name="_bdm.CA4C2BBCFB344306A1039E69772E4FB4.edm">'[7]Thermal BBP'!$A:$IV</definedName>
    <definedName name="_bdm.D10765B8B5574A8F8221F49D3472B26C.edm">'[7]Packard EBITDAR - CapEx'!$A:$IV</definedName>
    <definedName name="_bdm.DD9D8FF6186C4B4A814141134912D74C.edm">'[7]E&amp;S EBITDAR - CapEx'!$A:$IV</definedName>
    <definedName name="_bdm.E7F0FE6DDD1F48AC8526F72ED93ED162.edm">'[8]CapEx Margin'!$A:$IV</definedName>
    <definedName name="_bdm.F40F46BDE74F448394BAE922CF147B2B.edm">'[7]DPSS EBITDAR - CapEx'!$A:$IV</definedName>
    <definedName name="_bdm.F7458AF600944BBFB879B1610C06C171.edm">'[7]Thermal - EBTIDAR - CapEx'!$A:$IV</definedName>
    <definedName name="_com">{"'OBT_6M_30_6'!$S$1:$AE$53"}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>'[9]CD-실적'!#REF!</definedName>
    <definedName name="_Dist_Bin2">#REF!</definedName>
    <definedName name="_Dist_Values">#REF!</definedName>
    <definedName name="_Dist_Values2">#REF!</definedName>
    <definedName name="_FebMaster">#REF!</definedName>
    <definedName name="_FF_BPY_Direct">#REF!</definedName>
    <definedName name="_FF_BPY2008_2011_Direct">#REF!</definedName>
    <definedName name="_FF_V04">#REF!</definedName>
    <definedName name="_FF_V04a">#REF!</definedName>
    <definedName name="_Fill">#REF!</definedName>
    <definedName name="_xlnm._FilterDatabase" localSheetId="7">'FA Settings'!$A$1:$I$40</definedName>
    <definedName name="_xlnm._FilterDatabase" localSheetId="1">Modelos!$A$1:$J$385</definedName>
    <definedName name="_xlnm._FilterDatabase" localSheetId="4">'SMT Settings'!$A$1:$J$65</definedName>
    <definedName name="_xlnm._FilterDatabase" localSheetId="8">'Test Settings'!$A$1:$I$35</definedName>
    <definedName name="_xlnm._FilterDatabase" localSheetId="6">'WS Settings'!$A$1:$I$64</definedName>
    <definedName name="_FTQ1">#REF!</definedName>
    <definedName name="_Key1">[10]WEIGHT!#REF!</definedName>
    <definedName name="_Key11">#REF!</definedName>
    <definedName name="_Key2">[10]WEIGHT!#REF!</definedName>
    <definedName name="_Key22">#REF!</definedName>
    <definedName name="_light">[10]WEIGHT!#REF!</definedName>
    <definedName name="_New2">{#N/A,#N/A,FALSE,"BS 16";#N/A,#N/A,FALSE,"BS 16-A";#N/A,#N/A,FALSE,"BS 16-B";#N/A,#N/A,FALSE,"BS 16-C";#N/A,#N/A,FALSE,"NAO BS 16";#N/A,#N/A,FALSE,"Attach A (1998 Targets)"}</definedName>
    <definedName name="_New2006">{#N/A,#N/A,FALSE,"BS 16";#N/A,#N/A,FALSE,"BS 16-A";#N/A,#N/A,FALSE,"BS 16-B";#N/A,#N/A,FALSE,"BS 16-C";#N/A,#N/A,FALSE,"NAO BS 16";#N/A,#N/A,FALSE,"Attach A (1998 Targets)"}</definedName>
    <definedName name="_OA1">#REF!</definedName>
    <definedName name="_op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op2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_Order1">255</definedName>
    <definedName name="_Order2">255</definedName>
    <definedName name="_Parse_In">'[11]EWS99 - data entry'!#REF!</definedName>
    <definedName name="_Parse_Out">'[11]EWS99 - data entry'!#REF!</definedName>
    <definedName name="_pg1">#REF!</definedName>
    <definedName name="_SD1">#REF!</definedName>
    <definedName name="_SERVICE">#REF!</definedName>
    <definedName name="_Sort">#REF!</definedName>
    <definedName name="_Table1_In1">#REF!</definedName>
    <definedName name="_Table1_Out">#REF!</definedName>
    <definedName name="_Table2_In1">'[12]NYTO-model'!$D$1256</definedName>
    <definedName name="_Table2_Out">#REF!</definedName>
    <definedName name="A">[13]TiemposLaplace!A</definedName>
    <definedName name="aa">{#N/A,#N/A,FALSE,"SUMMARY";#N/A,#N/A,FALSE,"TOTAL AF";#N/A,#N/A,FALSE,"May A"}</definedName>
    <definedName name="aaa">'[14]FXYA$'!$A$6:$A$63</definedName>
    <definedName name="aaaa">{#N/A,#N/A,FALSE,"BS 8 96 - 95";#N/A,#N/A,FALSE,"BS 8 96 - 96";#N/A,#N/A,FALSE,"BS 8 97 - 96";#N/A,#N/A,FALSE,"BS 8 98 - 97";#N/A,#N/A,FALSE,"BS 8 99 - 98";#N/A,#N/A,FALSE,"BS 8 00 - 99"}</definedName>
    <definedName name="aaaaa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a">'[1]CD-실적'!#REF!</definedName>
    <definedName name="aaaaaaaa">{#N/A,#N/A,FALSE,"BS 8 96 - 95";#N/A,#N/A,FALSE,"BS 8 96 - 96";#N/A,#N/A,FALSE,"BS 8 97 - 96";#N/A,#N/A,FALSE,"BS 8 98 - 97";#N/A,#N/A,FALSE,"BS 8 99 - 98";#N/A,#N/A,FALSE,"BS 8 00 - 99"}</definedName>
    <definedName name="aaaaaaaaaa">{#N/A,#N/A,TRUE,"이사님";#N/A,#N/A,TRUE,"이사님"}</definedName>
    <definedName name="aafafg">{"'BGT2001'!$A$1:$AE$112"}</definedName>
    <definedName name="AASSD">{"'BGT2001'!$A$1:$AE$112"}</definedName>
    <definedName name="ab">[13]TiemposLaplace!ab</definedName>
    <definedName name="abc">[13]TiemposLaplace!abc</definedName>
    <definedName name="abcd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gabgasbhsbhsbsbsdbdb">{"'BGT2001'!$A$1:$AE$112"}</definedName>
    <definedName name="abs">'[15]Old CISCO 10_1_98'!#REF!</definedName>
    <definedName name="AccessDatabase">"D:\Stagiaire\FICHIERS FOURNISSEURS.xls"</definedName>
    <definedName name="Activity_End">'[16]Incremental Detail'!$A$72</definedName>
    <definedName name="Activity_Start">'[16]Incremental Detail'!$A$8</definedName>
    <definedName name="ACTUALES">'[17]2002 '!$DO$8:$EE$170</definedName>
    <definedName name="ad">{#N/A,#N/A,FALSE,"BS 16";#N/A,#N/A,FALSE,"BS 16-A";#N/A,#N/A,FALSE,"BS 16-B";#N/A,#N/A,FALSE,"BS 16-C";#N/A,#N/A,FALSE,"NAO BS 16";#N/A,#N/A,FALSE,"Attach A (1998 Targets)"}</definedName>
    <definedName name="AE">#REF!</definedName>
    <definedName name="AET">{"'BGT2001'!$A$1:$AE$112"}</definedName>
    <definedName name="AF">#REF!</definedName>
    <definedName name="AG">#REF!</definedName>
    <definedName name="AH">#REF!</definedName>
    <definedName name="AI">#REF!</definedName>
    <definedName name="AJ">#REF!</definedName>
    <definedName name="Ala">{#N/A,#N/A,FALSE,"SUMMARY";#N/A,#N/A,FALSE,"TOTAL AF";#N/A,#N/A,FALSE,"May A"}</definedName>
    <definedName name="alaa">{"total",#N/A,FALSE,"1999";"recap",#N/A,FALSE,"1999"}</definedName>
    <definedName name="alllllll">{#N/A,#N/A,FALSE,"SUMMARY";#N/A,#N/A,FALSE,"TOTAL AF";#N/A,#N/A,FALSE,"May A"}</definedName>
    <definedName name="Annual_Vol">#REF!</definedName>
    <definedName name="anscount">1</definedName>
    <definedName name="armandina">[13]TiemposLaplace!armandina</definedName>
    <definedName name="as">'[18]#REF'!#REF!</definedName>
    <definedName name="AS2DocOpenMode">"AS2DocumentEdit"</definedName>
    <definedName name="asaasa">{"'BGT2001'!$A$1:$AE$112"}</definedName>
    <definedName name="asas">{"'BGT2001'!$A$1:$AE$112"}</definedName>
    <definedName name="asasdasdas">{"'BGT2001'!$A$1:$AE$112"}</definedName>
    <definedName name="asasdsdf">{#N/A,#N/A,FALSE,"BS 16";#N/A,#N/A,FALSE,"BS 16-A";#N/A,#N/A,FALSE,"BS 16-B";#N/A,#N/A,FALSE,"BS 16-C";#N/A,#N/A,FALSE,"NAO BS 16";#N/A,#N/A,FALSE,"Attach A (1998 Targets)"}</definedName>
    <definedName name="asd">#REF!</definedName>
    <definedName name="asdfg">{#N/A,#N/A,FALSE,"BS 8 96 - 95";#N/A,#N/A,FALSE,"BS 8 96 - 96";#N/A,#N/A,FALSE,"BS 8 97 - 96";#N/A,#N/A,FALSE,"BS 8 98 - 97";#N/A,#N/A,FALSE,"BS 8 99 - 98";#N/A,#N/A,FALSE,"BS 8 00 - 99"}</definedName>
    <definedName name="ASDFVG">{"'BGT2001'!$A$1:$AE$112"}</definedName>
    <definedName name="ASG">{"'BGT2001'!$A$1:$AE$112"}</definedName>
    <definedName name="asp">'[19]Actual General Capacity Summary'!#REF!</definedName>
    <definedName name="ASRG">{"'BGT2001'!$A$1:$AE$112"}</definedName>
    <definedName name="asw">{#N/A,#N/A,FALSE,"EXIT";#N/A,#N/A,FALSE,"Issue";#N/A,#N/A,FALSE,"Summary";#N/A,#N/A,FALSE,"Detail";#N/A,#N/A,FALSE,"Attendance"}</definedName>
    <definedName name="Audio">'[20]Actual General Capacity Summary'!#REF!</definedName>
    <definedName name="AvrSHIPHIS">AVERAGE(IF('[21]Worksheet DA24_DA31'!C2:P2&gt;0,'[21]Worksheet DA24_DA31'!C2:P2))</definedName>
    <definedName name="AvrZFORC">AVERAGE(IF('[21]Worksheet DA24_DA31'!Q3:T3&gt;0,'[21]Worksheet DA24_DA31'!Q3:T3))</definedName>
    <definedName name="b">{#N/A,#N/A,FALSE,"BS 16";#N/A,#N/A,FALSE,"BS 16-A";#N/A,#N/A,FALSE,"BS 16-B";#N/A,#N/A,FALSE,"BS 16-C";#N/A,#N/A,FALSE,"NAO BS 16";#N/A,#N/A,FALSE,"Attach A (1998 Targets)"}</definedName>
    <definedName name="baseline">#REF!</definedName>
    <definedName name="basic">#REF!</definedName>
    <definedName name="bb">'[1]CD-실적'!#REF!</definedName>
    <definedName name="bbbb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Codes">[22]BB!$A$3:$A$43</definedName>
    <definedName name="bd">{"'BGT2001'!$A$1:$AE$112"}</definedName>
    <definedName name="Bd_Start1">#REF!</definedName>
    <definedName name="Bd_Start2">#REF!</definedName>
    <definedName name="Bd_Start3">#REF!</definedName>
    <definedName name="Bd_Start4">#REF!</definedName>
    <definedName name="Bd_Start5">#REF!</definedName>
    <definedName name="Bd_Start6">#REF!</definedName>
    <definedName name="Bd_Start7">#REF!</definedName>
    <definedName name="BL">'[23]Bld-A-Cost'!$G$9</definedName>
    <definedName name="Bld_Site">[24]Input!$D$27</definedName>
    <definedName name="BOMView">[22]Prg!$G$33</definedName>
    <definedName name="Booked_Anchor">#REF!</definedName>
    <definedName name="Border1">#REF!</definedName>
    <definedName name="border2">#REF!</definedName>
    <definedName name="Bottom">#REF!</definedName>
    <definedName name="Bottom_CN">#REF!</definedName>
    <definedName name="BottomRow">#REF!</definedName>
    <definedName name="BP">{#N/A,#N/A,FALSE,"SUMMARY";#N/A,#N/A,FALSE,"TOTAL AF";#N/A,#N/A,FALSE,"May A"}</definedName>
    <definedName name="bsdkshfsdk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uild_Quantity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ex">{#N/A,#N/A,FALSE,"SUMMARY";#N/A,#N/A,FALSE,"TOTAL AF";#N/A,#N/A,FALSE,"May A"}</definedName>
    <definedName name="Capital">#REF!</definedName>
    <definedName name="Capital1">{#N/A,#N/A,FALSE,"BS 16";#N/A,#N/A,FALSE,"BS 16-A";#N/A,#N/A,FALSE,"BS 16-B";#N/A,#N/A,FALSE,"BS 16-C";#N/A,#N/A,FALSE,"NAO BS 16";#N/A,#N/A,FALSE,"Attach A (1998 Targets)"}</definedName>
    <definedName name="Capital2">{#N/A,#N/A,FALSE,"BS 16";#N/A,#N/A,FALSE,"BS 16-A";#N/A,#N/A,FALSE,"BS 16-B";#N/A,#N/A,FALSE,"BS 16-C";#N/A,#N/A,FALSE,"NAO BS 16";#N/A,#N/A,FALSE,"Attach A (1998 Targets)"}</definedName>
    <definedName name="Capital2006">{#N/A,#N/A,FALSE,"BS 16";#N/A,#N/A,FALSE,"BS 16-A";#N/A,#N/A,FALSE,"BS 16-B";#N/A,#N/A,FALSE,"BS 16-C";#N/A,#N/A,FALSE,"NAO BS 16";#N/A,#N/A,FALSE,"Attach A (1998 Targets)"}</definedName>
    <definedName name="capitalized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o2">{#N/A,#N/A,FALSE,"BS 16";#N/A,#N/A,FALSE,"BS 16-A";#N/A,#N/A,FALSE,"BS 16-B";#N/A,#N/A,FALSE,"BS 16-C";#N/A,#N/A,FALSE,"NAO BS 16";#N/A,#N/A,FALSE,"Attach A (1998 Targets)"}</definedName>
    <definedName name="carla1">{"'BGT2001'!$A$1:$AE$112"}</definedName>
    <definedName name="CASH_FLOWS_FROM_OPERATING_ACTIVITIES">#REF!</definedName>
    <definedName name="cat">[13]TiemposLaplace!cat</definedName>
    <definedName name="Categories">[0]!Categories</definedName>
    <definedName name="ccc.">{"'BGT2001'!$A$1:$AE$112"}</definedName>
    <definedName name="CCCCCCCCC">{"'BGT2001'!$A$1:$AE$112"}</definedName>
    <definedName name="ce_lf_fore">{"'BGT2001'!$A$1:$AE$112"}</definedName>
    <definedName name="Cell_Qty">#REF!</definedName>
    <definedName name="Cell_Qty_on_MBC">#REF!</definedName>
    <definedName name="Changeover">#REF!</definedName>
    <definedName name="Chart">#REF!</definedName>
    <definedName name="Check_FF_Direct">#REF!</definedName>
    <definedName name="CHEVY_FAMILY_RCVR_WSS">'[25]Cycle Times Line 6'!#REF!</definedName>
    <definedName name="chsklfh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IAO">{"'OBT_6M_30_6'!$S$1:$AE$53"}</definedName>
    <definedName name="ClearData">[13]TiemposLaplace!ClearData</definedName>
    <definedName name="cleardata0">[0]!cleardata0</definedName>
    <definedName name="Cnty_Codes">[22]Profile!$D$4:$D$69</definedName>
    <definedName name="CO_Dur">#REF!</definedName>
    <definedName name="CO_Freq">#REF!</definedName>
    <definedName name="CO_Percent">#REF!</definedName>
    <definedName name="CO_Time_per_Cycle">#REF!</definedName>
    <definedName name="Code">#REF!</definedName>
    <definedName name="Concept_Review">#REF!</definedName>
    <definedName name="Cons_Chg_Interv">#REF!</definedName>
    <definedName name="Cons_Dur">#REF!</definedName>
    <definedName name="Cons_Freq">#REF!</definedName>
    <definedName name="Cons_Grp_Choice">[23]Consumed!$I$168:$I$190</definedName>
    <definedName name="Cons_List_Check">[23]Consumed!$I$168:$I$190</definedName>
    <definedName name="Cons_Percent">#REF!</definedName>
    <definedName name="Cons_Time_per_Cycle">#REF!</definedName>
    <definedName name="Consumed_Bd_Total">#REF!</definedName>
    <definedName name="Consumed_Bd_Total1">#REF!</definedName>
    <definedName name="Consumed_Bd_Total2">#REF!</definedName>
    <definedName name="Consumed_Bd_Total3">#REF!</definedName>
    <definedName name="Consumed_Bd_Total4">#REF!</definedName>
    <definedName name="Consumed_Bd_Total5">#REF!</definedName>
    <definedName name="Consumed_Bd_Total6">#REF!</definedName>
    <definedName name="Consumed_Bd_Total7">#REF!</definedName>
    <definedName name="Consumed_FA_Total">#REF!</definedName>
    <definedName name="Consumed_FA_Total1">#REF!</definedName>
    <definedName name="Consumed_FA_Total2">#REF!</definedName>
    <definedName name="Consumed_FA_Total3">#REF!</definedName>
    <definedName name="Consumed_FA_Total4">#REF!</definedName>
    <definedName name="Consumed_FA_Total5">#REF!</definedName>
    <definedName name="Consumed_FA_Total6">#REF!</definedName>
    <definedName name="Consumed_FA_Total7">#REF!</definedName>
    <definedName name="Consumed_SMT_Total">#REF!</definedName>
    <definedName name="Consumed_SMT_Total1">#REF!</definedName>
    <definedName name="Consumed_SMT_Total2">#REF!</definedName>
    <definedName name="Consumed_SMT_Total3">#REF!</definedName>
    <definedName name="Consumed_SMT_Total4">#REF!</definedName>
    <definedName name="Consumed_SMT_Total5">#REF!</definedName>
    <definedName name="Consumed_SMT_Total6">#REF!</definedName>
    <definedName name="Consumed_SMT_Total7">#REF!</definedName>
    <definedName name="copy_for_eric">'[9]CD-실적'!#REF!</definedName>
    <definedName name="COST">'[17]2002 '!$EN$10:$EV$170</definedName>
    <definedName name="Cost_per_Machine">#REF!</definedName>
    <definedName name="Country">'[26]FXYA$'!$A$6:$A$62</definedName>
    <definedName name="Cum_FTQ_Loss">#REF!</definedName>
    <definedName name="Curr_GI_All_Data">'[27]Current GI Forecast'!$A:$IV</definedName>
    <definedName name="CurrentWHPull">#REF!</definedName>
    <definedName name="Cycle_Time">#REF!</definedName>
    <definedName name="d">{#N/A,#N/A,FALSE,"BS 16";#N/A,#N/A,FALSE,"BS 16-A";#N/A,#N/A,FALSE,"BS 16-B";#N/A,#N/A,FALSE,"BS 16-C";#N/A,#N/A,FALSE,"NAO BS 16";#N/A,#N/A,FALSE,"Attach A (1998 Targets)"}</definedName>
    <definedName name="d23ed">'[28]OVERVIEW 2016 '!$A$1</definedName>
    <definedName name="da">{#N/A,#N/A,FALSE,"EXIT";#N/A,#N/A,FALSE,"Issues";#N/A,#N/A,FALSE,"Summary";#N/A,#N/A,FALSE,"Detail";#N/A,#N/A,FALSE,"Attendance"}</definedName>
    <definedName name="Daily_Vol">#REF!</definedName>
    <definedName name="dasgfsdg">{"'BGT2001'!$A$1:$AE$112"}</definedName>
    <definedName name="data_ext">'[29]Forecast_Ext forecast'!$A:$IV</definedName>
    <definedName name="Data_Input">#REF!</definedName>
    <definedName name="data_noext">'[29]Forecast_No ext forecast'!$A:$IV</definedName>
    <definedName name="_xlnm.Database">#REF!</definedName>
    <definedName name="DATE">#REF!</definedName>
    <definedName name="dates">#REF!</definedName>
    <definedName name="Day_Week">#REF!</definedName>
    <definedName name="DCT_on_MBC">#REF!</definedName>
    <definedName name="DD">#REF!</definedName>
    <definedName name="ddd">{#N/A,#N/A,FALSE,"BS 8 96 - 95";#N/A,#N/A,FALSE,"BS 8 96 - 96";#N/A,#N/A,FALSE,"BS 8 97 - 96";#N/A,#N/A,FALSE,"BS 8 98 - 97";#N/A,#N/A,FALSE,"BS 8 99 - 98";#N/A,#N/A,FALSE,"BS 8 00 - 99"}</definedName>
    <definedName name="DDDD">#REF!</definedName>
    <definedName name="ddddd">#REF!</definedName>
    <definedName name="dddddd">{#N/A,#N/A,FALSE,"EXIT";#N/A,#N/A,FALSE,"Issues";#N/A,#N/A,FALSE,"Summary";#N/A,#N/A,FALSE,"Detail";#N/A,#N/A,FALSE,"Team Commit";#N/A,#N/A,FALSE,"Attendance"}</definedName>
    <definedName name="ddddddddd">{#N/A,#N/A,FALSE,"EXIT";#N/A,#N/A,FALSE,"Issues";#N/A,#N/A,FALSE,"Summary";#N/A,#N/A,FALSE,"Detail";#N/A,#N/A,FALSE,"Attendance"}</definedName>
    <definedName name="dddddddddddddddd">{#N/A,#N/A,FALSE,"BS 8 96 - 95";#N/A,#N/A,FALSE,"BS 8 96 - 96";#N/A,#N/A,FALSE,"BS 8 97 - 96";#N/A,#N/A,FALSE,"BS 8 98 - 97";#N/A,#N/A,FALSE,"BS 8 99 - 98";#N/A,#N/A,FALSE,"BS 8 00 - 99"}</definedName>
    <definedName name="DDS">'[9]CD-실적'!#REF!</definedName>
    <definedName name="DE">{#N/A,#N/A,FALSE,"EXIT";#N/A,#N/A,FALSE,"Issue";#N/A,#N/A,FALSE,"Summary";#N/A,#N/A,FALSE,"Detail";#N/A,#N/A,FALSE,"Attendance"}</definedName>
    <definedName name="December" localSheetId="7">'[30]DDS correction'!December</definedName>
    <definedName name="December" localSheetId="4">'[30]DDS correction'!December</definedName>
    <definedName name="December" localSheetId="8">'[30]DDS correction'!December</definedName>
    <definedName name="December" localSheetId="6">'[30]DDS correction'!December</definedName>
    <definedName name="December">'[30]DDS correction'!December</definedName>
    <definedName name="DecWorkCap">#REF!</definedName>
    <definedName name="DeleteRows">[13]TiemposLaplace!DeleteRows</definedName>
    <definedName name="deletetakeline">[13]TiemposLaplace!deletetakeline</definedName>
    <definedName name="DeleteTaktLine">[13]TiemposLaplace!DeleteTaktLine</definedName>
    <definedName name="delta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deltainflators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Dept_List">'[31]Standard Hour Calc  (Peak)'!$E$63:$E$117</definedName>
    <definedName name="Dept_Num">'[31]Standard Hour Calc  (Peak)'!$C$4</definedName>
    <definedName name="Dept_Table">'[31]Standard Hour Calc  (Peak)'!$E$63:$L$117</definedName>
    <definedName name="DESCRIPTION">#REF!</definedName>
    <definedName name="Design_Cycle_Time">#REF!</definedName>
    <definedName name="Design_Cycle_Time_on_MB">#REF!</definedName>
    <definedName name="Design_Thruput_Rate">#REF!</definedName>
    <definedName name="Detail">{#N/A,#N/A,FALSE,"SUMMARY";#N/A,#N/A,FALSE,"TOTAL AF";#N/A,#N/A,FALSE,"May A"}</definedName>
    <definedName name="Details">#REF!</definedName>
    <definedName name="dfdf">{"'BGT2001'!$A$1:$AE$112"}</definedName>
    <definedName name="dfioewfheoe">{"page1",#N/A,FALSE,"new worksheet-E";"page2",#N/A,FALSE,"new worksheet-E";"page3",#N/A,FALSE,"new worksheet-E";"page4",#N/A,FALSE,"new worksheet-E";"page5",#N/A,FALSE,"new worksheet-E";"page6",#N/A,FALSE,"new worksheet-E";"page7",#N/A,FALSE,"new worksheet-E"}</definedName>
    <definedName name="DFSDFS">'[1]CD-실적'!#REF!</definedName>
    <definedName name="DIS">#REF!</definedName>
    <definedName name="display_area_2">#REF!</definedName>
    <definedName name="Div_Withholding">'[18]#REF'!#REF!</definedName>
    <definedName name="djfgj">{#N/A,#N/A,FALSE,"BS 8 96 - 95";#N/A,#N/A,FALSE,"BS 8 96 - 96";#N/A,#N/A,FALSE,"BS 8 97 - 96";#N/A,#N/A,FALSE,"BS 8 98 - 97";#N/A,#N/A,FALSE,"BS 8 99 - 98";#N/A,#N/A,FALSE,"BS 8 00 - 99"}</definedName>
    <definedName name="DME_Dirty">"False"</definedName>
    <definedName name="DME_LocalFile">"True"</definedName>
    <definedName name="DME_ODMALinks1">"::ODMA\DME-MSE\London-44590=C:\TEMP\Dme\London-44590.xls"</definedName>
    <definedName name="DME_ODMALinksCount">"1"</definedName>
    <definedName name="Dom_Inf">'[18]#REF'!#REF!</definedName>
    <definedName name="done">{#N/A,#N/A,FALSE,"EXIT";#N/A,#N/A,FALSE,"Issue";#N/A,#N/A,FALSE,"Summary";#N/A,#N/A,FALSE,"Detail";#N/A,#N/A,FALSE,"Attendance"}</definedName>
    <definedName name="done.">{#N/A,#N/A,FALSE,"EXIT";#N/A,#N/A,FALSE,"Issue";#N/A,#N/A,FALSE,"Summary";#N/A,#N/A,FALSE,"Detail";#N/A,#N/A,FALSE,"Attendance"}</definedName>
    <definedName name="Downstream_Loss_Contribution">#REF!</definedName>
    <definedName name="DS_CLTQ">#REF!</definedName>
    <definedName name="dtyioeo">{"'BGT2001'!$A$1:$AE$112"}</definedName>
    <definedName name="Duration">#REF!</definedName>
    <definedName name="dvd">{"'BGT2001'!$A$1:$AE$112"}</definedName>
    <definedName name="e">{#N/A,#N/A,FALSE,"BS 8 96 - 95";#N/A,#N/A,FALSE,"BS 8 96 - 96";#N/A,#N/A,FALSE,"BS 8 97 - 96";#N/A,#N/A,FALSE,"BS 8 98 - 97";#N/A,#N/A,FALSE,"BS 8 99 - 98";#N/A,#N/A,FALSE,"BS 8 00 - 99"}</definedName>
    <definedName name="ed">{#N/A,#N/A,FALSE,"EXIT";#N/A,#N/A,FALSE,"Issue";#N/A,#N/A,FALSE,"Summary";#N/A,#N/A,FALSE,"Detail";#N/A,#N/A,FALSE,"Attendance"}</definedName>
    <definedName name="edgar">[13]TiemposLaplace!edgar</definedName>
    <definedName name="eee">{#N/A,#N/A,FALSE,"BS 8 96 - 95";#N/A,#N/A,FALSE,"BS 8 96 - 96";#N/A,#N/A,FALSE,"BS 8 97 - 96";#N/A,#N/A,FALSE,"BS 8 98 - 97";#N/A,#N/A,FALSE,"BS 8 99 - 98";#N/A,#N/A,FALSE,"BS 8 00 - 99"}</definedName>
    <definedName name="Eff_Mach_CT">#REF!</definedName>
    <definedName name="Eff_Mach_CT_Sys">#REF!</definedName>
    <definedName name="Eff_Sys_Thru">#REF!</definedName>
    <definedName name="Equip_List_Custom">[23]TempEqList!$C$2:$C$192</definedName>
    <definedName name="EquipList">[23]Equip!$D$3:$I$2232</definedName>
    <definedName name="er">{#N/A,#N/A,FALSE,"SUMMARY";#N/A,#N/A,FALSE,"TOTAL AF";#N/A,#N/A,FALSE,"May A"}</definedName>
    <definedName name="EraseUserInputLF">[13]TiemposLaplace!EraseUserInputLF</definedName>
    <definedName name="EraseUserInputSF">[13]TiemposLaplace!EraseUserInputSF</definedName>
    <definedName name="erty">{#N/A,#N/A,FALSE,"EXIT";#N/A,#N/A,FALSE,"Issues";#N/A,#N/A,FALSE,"Summary";#N/A,#N/A,FALSE,"Detail";#N/A,#N/A,FALSE,"Attendance"}</definedName>
    <definedName name="erwweqr">#REF!</definedName>
    <definedName name="EST">#REF!</definedName>
    <definedName name="Estampado">[13]TiemposLaplace!Estampado</definedName>
    <definedName name="EW">{#N/A,#N/A,FALSE,"EXIT";#N/A,#N/A,FALSE,"Issues";#N/A,#N/A,FALSE,"Summary";#N/A,#N/A,FALSE,"Detail";#N/A,#N/A,FALSE,"Attendance"}</definedName>
    <definedName name="EWECapital">{#N/A,#N/A,FALSE,"BS 16";#N/A,#N/A,FALSE,"BS 16-A";#N/A,#N/A,FALSE,"BS 16-B";#N/A,#N/A,FALSE,"BS 16-C";#N/A,#N/A,FALSE,"NAO BS 16";#N/A,#N/A,FALSE,"Attach A (1998 Targets)"}</definedName>
    <definedName name="EWECapital2">{#N/A,#N/A,FALSE,"BS 16";#N/A,#N/A,FALSE,"BS 16-A";#N/A,#N/A,FALSE,"BS 16-B";#N/A,#N/A,FALSE,"BS 16-C";#N/A,#N/A,FALSE,"NAO BS 16";#N/A,#N/A,FALSE,"Attach A (1998 Targets)"}</definedName>
    <definedName name="EWENew">{#N/A,#N/A,FALSE,"BS 16";#N/A,#N/A,FALSE,"BS 16-A";#N/A,#N/A,FALSE,"BS 16-B";#N/A,#N/A,FALSE,"BS 16-C";#N/A,#N/A,FALSE,"NAO BS 16";#N/A,#N/A,FALSE,"Attach A (1998 Targets)"}</definedName>
    <definedName name="EWENew2">{#N/A,#N/A,FALSE,"BS 16";#N/A,#N/A,FALSE,"BS 16-A";#N/A,#N/A,FALSE,"BS 16-B";#N/A,#N/A,FALSE,"BS 16-C";#N/A,#N/A,FALSE,"NAO BS 16";#N/A,#N/A,FALSE,"Attach A (1998 Targets)"}</definedName>
    <definedName name="EWEwrn.barry.">{#N/A,#N/A,FALSE,"BS 16";#N/A,#N/A,FALSE,"BS 16-A";#N/A,#N/A,FALSE,"BS 16-B";#N/A,#N/A,FALSE,"BS 16-C";#N/A,#N/A,FALSE,"NAO BS 16";#N/A,#N/A,FALSE,"Attach A (1998 Targets)"}</definedName>
    <definedName name="Expected_Output">#REF!</definedName>
    <definedName name="Expense">#REF!</definedName>
    <definedName name="Export">#REF!</definedName>
    <definedName name="Export_Inf">'[18]#REF'!#REF!</definedName>
    <definedName name="f">{"total",#N/A,FALSE,"1999";"recap",#N/A,FALSE,"1999"}</definedName>
    <definedName name="FABISOGN">'[32]PREV-DIR'!#REF!</definedName>
    <definedName name="FAC">{#N/A,#N/A,FALSE,"SUMMARY";#N/A,#N/A,FALSE,"TOTAL AF";#N/A,#N/A,FALSE,"May A"}</definedName>
    <definedName name="FCode">#REF!</definedName>
    <definedName name="fdf">[13]TiemposLaplace!fdf</definedName>
    <definedName name="fdfvadf">{"page1",#N/A,FALSE,"new worksheet-E";"page2",#N/A,FALSE,"new worksheet-E";"page3",#N/A,FALSE,"new worksheet-E";"page4",#N/A,FALSE,"new worksheet-E";"page5",#N/A,FALSE,"new worksheet-E";"page6",#N/A,FALSE,"new worksheet-E";"page7",#N/A,FALSE,"new worksheet-E"}</definedName>
    <definedName name="FF">#REF!</definedName>
    <definedName name="FF_Rev_CY">#REF!</definedName>
    <definedName name="ffffffffffff">{#N/A,#N/A,FALSE,"BS 8 96 - 95";#N/A,#N/A,FALSE,"BS 8 96 - 96";#N/A,#N/A,FALSE,"BS 8 97 - 96";#N/A,#N/A,FALSE,"BS 8 98 - 97";#N/A,#N/A,FALSE,"BS 8 99 - 98";#N/A,#N/A,FALSE,"BS 8 00 - 99"}</definedName>
    <definedName name="FFGFG">#REF!</definedName>
    <definedName name="fgk">{"'BGT2001'!$A$1:$AE$112"}</definedName>
    <definedName name="fgt">{"'BGT2001'!$A$1:$AE$112"}</definedName>
    <definedName name="FifthYr">'[16]Incremental Detail'!$Q$73</definedName>
    <definedName name="Filterdatabase">#REF!</definedName>
    <definedName name="FinFF04_Check">#REF!</definedName>
    <definedName name="FirstYr">'[16]Incremental Detail'!$I$73</definedName>
    <definedName name="fj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orecast2">{"'BGT2001'!$A$1:$AE$112"}</definedName>
    <definedName name="form7">"p!$A$1:$W$53"</definedName>
    <definedName name="Form7Detail">#REF!</definedName>
    <definedName name="Form7PrtRange">#REF!</definedName>
    <definedName name="FourthYr">'[16]Incremental Detail'!$O$73</definedName>
    <definedName name="FR">{#N/A,#N/A,FALSE,"EXIT";#N/A,#N/A,FALSE,"Issue";#N/A,#N/A,FALSE,"Summary";#N/A,#N/A,FALSE,"Detail";#N/A,#N/A,FALSE,"Attendance"}</definedName>
    <definedName name="fsdfk">{#N/A,#N/A,FALSE,"SUMMARY";#N/A,#N/A,FALSE,"TOTAL AF";#N/A,#N/A,FALSE,"May A"}</definedName>
    <definedName name="ftgh">[13]TiemposLaplace!ftgh</definedName>
    <definedName name="FTQ">#REF!</definedName>
    <definedName name="FTQ_Loss">#REF!</definedName>
    <definedName name="FTQ_per_Cycle">#REF!</definedName>
    <definedName name="fur">{"'BGT2001'!$A$1:$AE$112"}</definedName>
    <definedName name="FX">#REF!</definedName>
    <definedName name="FX_1">#REF!</definedName>
    <definedName name="FX_2">#REF!</definedName>
    <definedName name="FX_3">#REF!</definedName>
    <definedName name="FX_4">#REF!</definedName>
    <definedName name="FX_5">#REF!</definedName>
    <definedName name="FX_6">#REF!</definedName>
    <definedName name="FX_TABLE">#REF!</definedName>
    <definedName name="g">[0]!g</definedName>
    <definedName name="GBPUS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neral">#REF!</definedName>
    <definedName name="gFSFADAFSD">{#N/A,#N/A,FALSE,"BS 16";#N/A,#N/A,FALSE,"BS 16-A";#N/A,#N/A,FALSE,"BS 16-B";#N/A,#N/A,FALSE,"BS 16-C";#N/A,#N/A,FALSE,"NAO BS 16";#N/A,#N/A,FALSE,"Attach A (1998 Targets)"}</definedName>
    <definedName name="GGGG">[33]ECOLOGIA!$A$50:$A$91</definedName>
    <definedName name="GHHH">#REF!</definedName>
    <definedName name="ghjg">{#N/A,#N/A,FALSE,"EXIT";#N/A,#N/A,FALSE,"Issues";#N/A,#N/A,FALSE,"Summary";#N/A,#N/A,FALSE,"Detail";#N/A,#N/A,FALSE,"Team Commit";#N/A,#N/A,FALSE,"Attendance"}</definedName>
    <definedName name="gii">{"'OBT_6M_30_6'!$S$1:$AE$53"}</definedName>
    <definedName name="gjhkg">{#N/A,#N/A,FALSE,"EXIT";#N/A,#N/A,FALSE,"Issue";#N/A,#N/A,FALSE,"Summary";#N/A,#N/A,FALSE,"Detail";#N/A,#N/A,FALSE,"Attendance"}</definedName>
    <definedName name="Grafico">{"'BGT2001'!$A$1:$AE$112"}</definedName>
    <definedName name="Grand_Total">'[16]Incremental Detail'!$T$7</definedName>
    <definedName name="GT">2240</definedName>
    <definedName name="H">[13]TiemposLaplace!H</definedName>
    <definedName name="Header">#REF!</definedName>
    <definedName name="HeaderDetail">'[34]Process Flow Chart'!$Q$7,'[34]Process Flow Chart'!$Q$9,'[34]Process Flow Chart'!$Q$11,'[34]Process Flow Chart'!$V$11,'[34]Process Flow Chart'!$V$12</definedName>
    <definedName name="hello">{#N/A,#N/A,FALSE,"BS 8 96 - 95";#N/A,#N/A,FALSE,"BS 8 96 - 96";#N/A,#N/A,FALSE,"BS 8 97 - 96";#N/A,#N/A,FALSE,"BS 8 98 - 97";#N/A,#N/A,FALSE,"BS 8 99 - 98";#N/A,#N/A,FALSE,"BS 8 00 - 99"}</definedName>
    <definedName name="help">{#N/A,#N/A,FALSE,"EXIT";#N/A,#N/A,FALSE,"Issue";#N/A,#N/A,FALSE,"Summary";#N/A,#N/A,FALSE,"Detail";#N/A,#N/A,FALSE,"Attendance"}</definedName>
    <definedName name="help.">{#N/A,#N/A,FALSE,"EXIT";#N/A,#N/A,FALSE,"Issue";#N/A,#N/A,FALSE,"Summary";#N/A,#N/A,FALSE,"Detail";#N/A,#N/A,FALSE,"Attendance"}</definedName>
    <definedName name="HGGHHG">#REF!</definedName>
    <definedName name="hhh">{#N/A,#N/A,FALSE,"EXIT";#N/A,#N/A,FALSE,"Issues";#N/A,#N/A,FALSE,"Summary";#N/A,#N/A,FALSE,"Detail";#N/A,#N/A,FALSE,"Team Commit";#N/A,#N/A,FALSE,"Attendance"}</definedName>
    <definedName name="HiddenRows">#REF!</definedName>
    <definedName name="hola">[13]TiemposLaplace!hola</definedName>
    <definedName name="Holidays">#REF!</definedName>
    <definedName name="hsdlfhf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TML_CodePage">1252</definedName>
    <definedName name="HTML_Control">{"'FY98 BP2'!$A$1:$K$27","'FY98 BP2'!$A$3:$K$27"}</definedName>
    <definedName name="HTML_Control_Cot">{"'Gadsden-@'!$A$1:$K$35"}</definedName>
    <definedName name="HTML_Description">""</definedName>
    <definedName name="HTML_Email">""</definedName>
    <definedName name="HTML_Header">"FY98 BP2"</definedName>
    <definedName name="HTML_LastUpdate">"10/2/98"</definedName>
    <definedName name="HTML_LineAfter">TRUE</definedName>
    <definedName name="HTML_LineBefore">TRUE</definedName>
    <definedName name="HTML_Name">"Matt Verhalen"</definedName>
    <definedName name="HTML_OBDlg2">TRUE</definedName>
    <definedName name="HTML_OBDlg3">TRUE</definedName>
    <definedName name="HTML_OBDlg4">TRUE</definedName>
    <definedName name="HTML_OS">0</definedName>
    <definedName name="HTML_PathFile">"K:\financial\Budget\summary.htm"</definedName>
    <definedName name="HTML_PathTemplate">"D:\Intranet\Titolo_Stock_Anziano_mensile.htm"</definedName>
    <definedName name="HTML_Title">"summary 98bp2"</definedName>
    <definedName name="HTML1_1">"[OBT_6M.XLS]OBT_6M!$B$5:$S$48"</definedName>
    <definedName name="HTML1_11">1</definedName>
    <definedName name="HTML1_12">"C:\WEB\EXCEL\ASS_PROD\MyHTMLx.htm"</definedName>
    <definedName name="HTML1_2">-4146</definedName>
    <definedName name="HTML1_3">"C:\WEB\EXCEL\ASS_PROD\HTMLTemp.htm"</definedName>
    <definedName name="HTML2_1">"[OBT_6M_1.XLS]OBT_6M_sem!$B$5:$M$51"</definedName>
    <definedName name="HTML2_11">1</definedName>
    <definedName name="HTML2_12">"C:\WEB\EXCEL\STK_ANZ\ANZ_6M.HTM"</definedName>
    <definedName name="HTML2_2">-4146</definedName>
    <definedName name="HTML2_3">"C:\WEB\EXCEL\STK_ANZ\HTMLTEMP.HTM"</definedName>
    <definedName name="HTMLCount">2</definedName>
    <definedName name="Income">#REF!</definedName>
    <definedName name="INCSTA_FRAIKIN">{"'BGT2001'!$A$1:$AE$112"}</definedName>
    <definedName name="IncWorkCap">#REF!</definedName>
    <definedName name="InsertRows">[13]TiemposLaplace!InsertRows</definedName>
    <definedName name="InsertTaktLineSF">[13]TiemposLaplace!InsertTaktLineSF</definedName>
    <definedName name="INTEREST_RATE">#REF!</definedName>
    <definedName name="IoI_Mach_Qty_1">'[35]Incr Inv Tool'!$K$10:$K$19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CCOUNT_CHANGE">"c1449"</definedName>
    <definedName name="IQ_ACCOUNTING_STANDARD">"c4539"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"c1340"</definedName>
    <definedName name="IQ_ACCUMULATED_PENSION_OBLIGATION">"c2244"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_AVG_BANK_ASSETS">"c2671"</definedName>
    <definedName name="IQ_ADJUSTABLE_RATE_LOANS_FDIC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PER_SHARE_BASIC">"c8869"</definedName>
    <definedName name="IQ_AFFO_PER_SHARE_DILUTED">"c8870"</definedName>
    <definedName name="IQ_AFTER_TAX_INCOME_FDIC">"c6583"</definedName>
    <definedName name="IQ_AGENCY">"c8960"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_DISTRIBUTION_UNIT">"c3004"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HELD_FDIC">"c6305"</definedName>
    <definedName name="IQ_ASSETS_NAME_AP">"c8921"</definedName>
    <definedName name="IQ_ASSETS_NAME_AP_ABS">"c8940"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PC_EARNED">"c2746"</definedName>
    <definedName name="IQ_ASSUMED_WRITTEN">"c2725"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>"c5315"</definedName>
    <definedName name="IQ_AVG_BROKER_REC_REUT">"c3630"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>"c4455"</definedName>
    <definedName name="IQ_AVG_INDUSTRY_REC_CIQ">"c4984"</definedName>
    <definedName name="IQ_AVG_INDUSTRY_REC_NO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VOLUME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>"c8353"</definedName>
    <definedName name="IQ_BALANCE_GOODS_APR_UNUSED">"c7473"</definedName>
    <definedName name="IQ_BALANCE_GOODS_APR_UNUSED_UNUSED_UNUSED">"c7473"</definedName>
    <definedName name="IQ_BALANCE_GOODS_FC_UNUSED">"c7693"</definedName>
    <definedName name="IQ_BALANCE_GOODS_FC_UNUSED_UNUSED_UNUSED">"c7693"</definedName>
    <definedName name="IQ_BALANCE_GOODS_POP_FC_UNUSED">"c7913"</definedName>
    <definedName name="IQ_BALANCE_GOODS_POP_FC_UNUSED_UNUSED_UNUSED">"c7913"</definedName>
    <definedName name="IQ_BALANCE_GOODS_POP_UNUSED">"c7033"</definedName>
    <definedName name="IQ_BALANCE_GOODS_POP_UNUSED_UNUSED_UNUSED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>"c8133"</definedName>
    <definedName name="IQ_BALANCE_GOODS_YOY_UNUSED">"c7253"</definedName>
    <definedName name="IQ_BALANCE_GOODS_YOY_UNUSED_UNUSED_UNUSED">"c7253"</definedName>
    <definedName name="IQ_BALANCE_SERV_APR_FC_UNUSED">"c8355"</definedName>
    <definedName name="IQ_BALANCE_SERV_APR_FC_UNUSED_UNUSED_UNUSED">"c8355"</definedName>
    <definedName name="IQ_BALANCE_SERV_APR_UNUSED">"c7475"</definedName>
    <definedName name="IQ_BALANCE_SERV_APR_UNUSED_UNUSED_UNUSED">"c7475"</definedName>
    <definedName name="IQ_BALANCE_SERV_FC_UNUSED">"c7695"</definedName>
    <definedName name="IQ_BALANCE_SERV_FC_UNUSED_UNUSED_UNUSED">"c7695"</definedName>
    <definedName name="IQ_BALANCE_SERV_POP_FC_UNUSED">"c7915"</definedName>
    <definedName name="IQ_BALANCE_SERV_POP_FC_UNUSED_UNUSED_UNUSED">"c7915"</definedName>
    <definedName name="IQ_BALANCE_SERV_POP_UNUSED">"c7035"</definedName>
    <definedName name="IQ_BALANCE_SERV_POP_UNUSED_UNUSED_UNUSED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>"c8135"</definedName>
    <definedName name="IQ_BALANCE_SERV_YOY_UNUSED">"c7255"</definedName>
    <definedName name="IQ_BALANCE_SERV_YOY_UNUSED_UNUSED_UNUSED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>"c8357"</definedName>
    <definedName name="IQ_BALANCE_TRADE_APR_UNUSED">"c7477"</definedName>
    <definedName name="IQ_BALANCE_TRADE_APR_UNUSED_UNUSED_UNUSED">"c7477"</definedName>
    <definedName name="IQ_BALANCE_TRADE_FC_UNUSED">"c7697"</definedName>
    <definedName name="IQ_BALANCE_TRADE_FC_UNUSED_UNUSED_UNUSED">"c7697"</definedName>
    <definedName name="IQ_BALANCE_TRADE_POP_FC_UNUSED">"c7917"</definedName>
    <definedName name="IQ_BALANCE_TRADE_POP_FC_UNUSED_UNUSED_UNUSED">"c7917"</definedName>
    <definedName name="IQ_BALANCE_TRADE_POP_UNUSED">"c7037"</definedName>
    <definedName name="IQ_BALANCE_TRADE_POP_UNUSED_UNUSED_UNUSED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>"c8137"</definedName>
    <definedName name="IQ_BALANCE_TRADE_YOY_UNUSED">"c7257"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DEBT">"c2544"</definedName>
    <definedName name="IQ_BANK_DEBT_PCT">"c2545"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OUTSTANDING_CURRENT_EST">"c4128"</definedName>
    <definedName name="IQ_BASIC_OUTSTANDING_CURRENT_HIGH_EST">"c4129"</definedName>
    <definedName name="IQ_BASIC_OUTSTANDING_CURRENT_LOW_EST">"c4130"</definedName>
    <definedName name="IQ_BASIC_OUTSTANDING_CURRENT_MEDIAN_EST">"c4131"</definedName>
    <definedName name="IQ_BASIC_OUTSTANDING_CURRENT_NUM_EST">"c4132"</definedName>
    <definedName name="IQ_BASIC_OUTSTANDING_CURRENT_STDDEV_EST">"c4133"</definedName>
    <definedName name="IQ_BASIC_OUTSTANDING_EST">"c4134"</definedName>
    <definedName name="IQ_BASIC_OUTSTANDING_HIGH_EST">"c4135"</definedName>
    <definedName name="IQ_BASIC_OUTSTANDING_LOW_EST">"c4136"</definedName>
    <definedName name="IQ_BASIC_OUTSTANDING_MEDIAN_EST">"c4137"</definedName>
    <definedName name="IQ_BASIC_OUTSTANDING_NUM_EST">"c4138"</definedName>
    <definedName name="IQ_BASIC_OUTSTANDING_STDDEV_EST">"c4139"</definedName>
    <definedName name="IQ_BASIC_WEIGHT">"c87"</definedName>
    <definedName name="IQ_BASIC_WEIGHT_EST">"c4140"</definedName>
    <definedName name="IQ_BASIC_WEIGHT_GUIDANCE">"c4141"</definedName>
    <definedName name="IQ_BASIC_WEIGHT_HIGH_EST">"c4142"</definedName>
    <definedName name="IQ_BASIC_WEIGHT_LOW_EST">"c4143"</definedName>
    <definedName name="IQ_BASIC_WEIGHT_MEDIAN_EST">"c4144"</definedName>
    <definedName name="IQ_BASIC_WEIGHT_NUM_EST">"c4145"</definedName>
    <definedName name="IQ_BASIC_WEIGHT_STDDEV_EST">"c4146"</definedName>
    <definedName name="IQ_BENCHMARK_SECURITY">"c2154"</definedName>
    <definedName name="IQ_BENCHMARK_SPRD">"c2153"</definedName>
    <definedName name="IQ_BENCHMARK_YIELD">"c8955"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ROK_COMMISSION">"c3514"</definedName>
    <definedName name="IQ_BROKERED_DEPOSITS_FDIC">"c6486"</definedName>
    <definedName name="IQ_BUDGET_BALANCE_APR_FC_UNUSED">"c8359"</definedName>
    <definedName name="IQ_BUDGET_BALANCE_APR_FC_UNUSED_UNUSED_UNUSED">"c8359"</definedName>
    <definedName name="IQ_BUDGET_BALANCE_APR_UNUSED">"c7479"</definedName>
    <definedName name="IQ_BUDGET_BALANCE_APR_UNUSED_UNUSED_UNUSED">"c7479"</definedName>
    <definedName name="IQ_BUDGET_BALANCE_FC_UNUSED">"c7699"</definedName>
    <definedName name="IQ_BUDGET_BALANCE_FC_UNUSED_UNUSED_UNUSED">"c7699"</definedName>
    <definedName name="IQ_BUDGET_BALANCE_POP_FC_UNUSED">"c7919"</definedName>
    <definedName name="IQ_BUDGET_BALANCE_POP_FC_UNUSED_UNUSED_UNUSED">"c7919"</definedName>
    <definedName name="IQ_BUDGET_BALANCE_POP_UNUSED">"c7039"</definedName>
    <definedName name="IQ_BUDGET_BALANCE_POP_UNUSED_UNUSED_UNUSED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>"c6819"</definedName>
    <definedName name="IQ_BUDGET_BALANCE_YOY_FC_UNUSED">"c8139"</definedName>
    <definedName name="IQ_BUDGET_BALANCE_YOY_FC_UNUSED_UNUSED_UNUSED">"c8139"</definedName>
    <definedName name="IQ_BUDGET_BALANCE_YOY_UNUSED">"c7259"</definedName>
    <definedName name="IQ_BUDGET_BALANCE_YOY_UNUSED_UNUSED_UNUSED">"c7259"</definedName>
    <definedName name="IQ_BUDGET_RECEIPTS_APR_FC_UNUSED">"c8361"</definedName>
    <definedName name="IQ_BUDGET_RECEIPTS_APR_FC_UNUSED_UNUSED_UNUSED">"c8361"</definedName>
    <definedName name="IQ_BUDGET_RECEIPTS_APR_UNUSED">"c7481"</definedName>
    <definedName name="IQ_BUDGET_RECEIPTS_APR_UNUSED_UNUSED_UNUSED">"c7481"</definedName>
    <definedName name="IQ_BUDGET_RECEIPTS_FC_UNUSED">"c7701"</definedName>
    <definedName name="IQ_BUDGET_RECEIPTS_FC_UNUSED_UNUSED_UNUSED">"c7701"</definedName>
    <definedName name="IQ_BUDGET_RECEIPTS_POP_FC_UNUSED">"c7921"</definedName>
    <definedName name="IQ_BUDGET_RECEIPTS_POP_FC_UNUSED_UNUSED_UNUSED">"c7921"</definedName>
    <definedName name="IQ_BUDGET_RECEIPTS_POP_UNUSED">"c7041"</definedName>
    <definedName name="IQ_BUDGET_RECEIPTS_POP_UNUSED_UNUSED_UNUSED">"c7041"</definedName>
    <definedName name="IQ_BUDGET_RECEIPTS_UNUSED">"c6821"</definedName>
    <definedName name="IQ_BUDGET_RECEIPTS_UNUSED_UNUSED_UNUSED">"c6821"</definedName>
    <definedName name="IQ_BUDGET_RECEIPTS_YOY_FC_UNUSED">"c8141"</definedName>
    <definedName name="IQ_BUDGET_RECEIPTS_YOY_FC_UNUSED_UNUSED_UNUSED">"c8141"</definedName>
    <definedName name="IQ_BUDGET_RECEIPTS_YOY_UNUSED">"c7261"</definedName>
    <definedName name="IQ_BUDGET_RECEIPTS_YOY_UNUSED_UNUSED_UNUSED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>"c322"</definedName>
    <definedName name="IQ_BV_ACT_OR_EST_CIQ">"c5068"</definedName>
    <definedName name="IQ_BV_ACT_OR_EST_REUT">"c5471"</definedName>
    <definedName name="IQ_BV_EST">"c5624"</definedName>
    <definedName name="IQ_BV_EST_REUT">"c5403"</definedName>
    <definedName name="IQ_BV_HIGH_EST">"c5626"</definedName>
    <definedName name="IQ_BV_HIGH_EST_REUT">"c5405"</definedName>
    <definedName name="IQ_BV_LOW_EST">"c5627"</definedName>
    <definedName name="IQ_BV_LOW_EST_REUT">"c5406"</definedName>
    <definedName name="IQ_BV_MEDIAN_EST">"c5625"</definedName>
    <definedName name="IQ_BV_MEDIAN_EST_REUT">"c5404"</definedName>
    <definedName name="IQ_BV_NUM_EST">"c5628"</definedName>
    <definedName name="IQ_BV_NUM_EST_REUT">"c5407"</definedName>
    <definedName name="IQ_BV_OVER_SHARES">"c1349"</definedName>
    <definedName name="IQ_BV_SHARE">"c100"</definedName>
    <definedName name="IQ_BV_SHARE_ACT_OR_EST">"c3587"</definedName>
    <definedName name="IQ_BV_SHARE_ACT_OR_EST_REUT">"c5477"</definedName>
    <definedName name="IQ_BV_SHARE_EST">"c3541"</definedName>
    <definedName name="IQ_BV_SHARE_EST_REUT">"c5439"</definedName>
    <definedName name="IQ_BV_SHARE_HIGH_EST">"c3542"</definedName>
    <definedName name="IQ_BV_SHARE_HIGH_EST_REUT">"c5441"</definedName>
    <definedName name="IQ_BV_SHARE_LOW_EST">"c3543"</definedName>
    <definedName name="IQ_BV_SHARE_LOW_EST_REUT">"c5442"</definedName>
    <definedName name="IQ_BV_SHARE_MEDIAN_EST">"c3544"</definedName>
    <definedName name="IQ_BV_SHARE_MEDIAN_EST_REUT">"c5440"</definedName>
    <definedName name="IQ_BV_SHARE_NUM_EST">"c3539"</definedName>
    <definedName name="IQ_BV_SHARE_NUM_EST_REUT">"c5443"</definedName>
    <definedName name="IQ_BV_SHARE_STDDEV_EST">"c3540"</definedName>
    <definedName name="IQ_BV_SHARE_STDDEV_EST_REUT">"c5444"</definedName>
    <definedName name="IQ_BV_STDDEV_EST">"c5629"</definedName>
    <definedName name="IQ_BV_STDDEV_EST_REUT">"c5408"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"c2869"</definedName>
    <definedName name="IQ_CABLE_ARPU_ANALOG">"c2864"</definedName>
    <definedName name="IQ_CABLE_ARPU_BASIC">"c2866"</definedName>
    <definedName name="IQ_CABLE_ARPU_BBAND">"c2867"</definedName>
    <definedName name="IQ_CABLE_ARPU_DIG">"c2865"</definedName>
    <definedName name="IQ_CABLE_ARPU_PHONE">"c2868"</definedName>
    <definedName name="IQ_CABLE_BASIC_PENETRATION">"c2850"</definedName>
    <definedName name="IQ_CABLE_BBAND_PENETRATION">"c2852"</definedName>
    <definedName name="IQ_CABLE_BBAND_PENETRATION_THP">"c2851"</definedName>
    <definedName name="IQ_CABLE_CHURN">"c2874"</definedName>
    <definedName name="IQ_CABLE_CHURN_BASIC">"c2871"</definedName>
    <definedName name="IQ_CABLE_CHURN_BBAND">"c2872"</definedName>
    <definedName name="IQ_CABLE_CHURN_DIG">"c2870"</definedName>
    <definedName name="IQ_CABLE_CHURN_PHONE">"c2873"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"c2848"</definedName>
    <definedName name="IQ_CABLE_OTHER_REV">"c2882"</definedName>
    <definedName name="IQ_CABLE_PHONE_PENETRATION">"c2853"</definedName>
    <definedName name="IQ_CABLE_PROGRAMMING_COSTS">"c2884"</definedName>
    <definedName name="IQ_CABLE_REV_ADVERT">"c2880"</definedName>
    <definedName name="IQ_CABLE_REV_ANALOG">"c2875"</definedName>
    <definedName name="IQ_CABLE_REV_BASIC">"c2877"</definedName>
    <definedName name="IQ_CABLE_REV_BBAND">"c2878"</definedName>
    <definedName name="IQ_CABLE_REV_COMMERCIAL">"c2881"</definedName>
    <definedName name="IQ_CABLE_REV_DIG">"c2876"</definedName>
    <definedName name="IQ_CABLE_REV_PHONE">"c2879"</definedName>
    <definedName name="IQ_CABLE_RGU">"c2863"</definedName>
    <definedName name="IQ_CABLE_SUBS_ANALOG">"c2855"</definedName>
    <definedName name="IQ_CABLE_SUBS_BASIC">"c2857"</definedName>
    <definedName name="IQ_CABLE_SUBS_BBAND">"c2858"</definedName>
    <definedName name="IQ_CABLE_SUBS_BUNDLED">"c2861"</definedName>
    <definedName name="IQ_CABLE_SUBS_DIG">"c2856"</definedName>
    <definedName name="IQ_CABLE_SUBS_NON_VIDEO">"c2860"</definedName>
    <definedName name="IQ_CABLE_SUBS_PHONE">"c2859"</definedName>
    <definedName name="IQ_CABLE_SUBS_TOTAL">"c2862"</definedName>
    <definedName name="IQ_CABLE_THP">"c2847"</definedName>
    <definedName name="IQ_CABLE_TOTAL_PENETRATION">"c2854"</definedName>
    <definedName name="IQ_CABLE_TOTAL_REV">"c2883"</definedName>
    <definedName name="IQ_CAL_Q">"c101"</definedName>
    <definedName name="IQ_CAL_Q_EST">"c6796"</definedName>
    <definedName name="IQ_CAL_Q_EST_CIQ">"c6808"</definedName>
    <definedName name="IQ_CAL_Q_EST_REUT">"c6800"</definedName>
    <definedName name="IQ_CAL_Y">"c102"</definedName>
    <definedName name="IQ_CAL_Y_EST">"c6797"</definedName>
    <definedName name="IQ_CAL_Y_EST_CIQ">"c6809"</definedName>
    <definedName name="IQ_CAL_Y_EST_REUT">"c6801"</definedName>
    <definedName name="IQ_CALC_TYPE_BS">"c3086"</definedName>
    <definedName name="IQ_CALC_TYPE_CF">"c3085"</definedName>
    <definedName name="IQ_CALC_TYPE_IS">"c3084"</definedName>
    <definedName name="IQ_CALL_DATE_SCHEDULE">"c2481"</definedName>
    <definedName name="IQ_CALL_FEATURE">"c2197"</definedName>
    <definedName name="IQ_CALL_PRICE_SCHEDULE">"c2482"</definedName>
    <definedName name="IQ_CALLABLE">"c2196"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>"c3584"</definedName>
    <definedName name="IQ_CAPEX_ACT_OR_EST_REUT">"c5474"</definedName>
    <definedName name="IQ_CAPEX_BNK">"c110"</definedName>
    <definedName name="IQ_CAPEX_BR">"c111"</definedName>
    <definedName name="IQ_CAPEX_EST">"c3523"</definedName>
    <definedName name="IQ_CAPEX_EST_REUT">"c3969"</definedName>
    <definedName name="IQ_CAPEX_FIN">"c112"</definedName>
    <definedName name="IQ_CAPEX_GUIDANCE">"c4150"</definedName>
    <definedName name="IQ_CAPEX_HIGH_EST">"c3524"</definedName>
    <definedName name="IQ_CAPEX_HIGH_EST_REUT">"c3971"</definedName>
    <definedName name="IQ_CAPEX_HIGH_GUIDANCE">"c4180"</definedName>
    <definedName name="IQ_CAPEX_INS">"c113"</definedName>
    <definedName name="IQ_CAPEX_LOW_EST">"c3525"</definedName>
    <definedName name="IQ_CAPEX_LOW_EST_REUT">"c3972"</definedName>
    <definedName name="IQ_CAPEX_LOW_GUIDANCE">"c4220"</definedName>
    <definedName name="IQ_CAPEX_MEDIAN_EST">"c3526"</definedName>
    <definedName name="IQ_CAPEX_MEDIAN_EST_REUT">"c3970"</definedName>
    <definedName name="IQ_CAPEX_NUM_EST">"c3521"</definedName>
    <definedName name="IQ_CAPEX_NUM_EST_REUT">"c3973"</definedName>
    <definedName name="IQ_CAPEX_STDDEV_EST">"c3522"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"c1458"</definedName>
    <definedName name="IQ_CASH_ACQUIRE_CF">"c116"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IVIDENDS_NET_INCOME_FDIC">"c6738"</definedName>
    <definedName name="IQ_CASH_DUE_BANKS">"c1351"</definedName>
    <definedName name="IQ_CASH_EPS_ACT_OR_EST">"c5638"</definedName>
    <definedName name="IQ_CASH_EPS_EST">"c5631"</definedName>
    <definedName name="IQ_CASH_EPS_HIGH_EST">"c5633"</definedName>
    <definedName name="IQ_CASH_EPS_LOW_EST">"c5634"</definedName>
    <definedName name="IQ_CASH_EPS_MEDIAN_EST">"c5632"</definedName>
    <definedName name="IQ_CASH_EPS_NUM_EST">"c5635"</definedName>
    <definedName name="IQ_CASH_EPS_STDDEV_EST">"c5636"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>"c4154"</definedName>
    <definedName name="IQ_CASH_FLOW_ACT_OR_EST_CIQ">"c4566"</definedName>
    <definedName name="IQ_CASH_FLOW_EST">"c4153"</definedName>
    <definedName name="IQ_CASH_FLOW_GUIDANCE">"c4155"</definedName>
    <definedName name="IQ_CASH_FLOW_HIGH_EST">"c4156"</definedName>
    <definedName name="IQ_CASH_FLOW_HIGH_GUIDANCE">"c4201"</definedName>
    <definedName name="IQ_CASH_FLOW_LOW_EST">"c4157"</definedName>
    <definedName name="IQ_CASH_FLOW_LOW_GUIDANCE">"c4241"</definedName>
    <definedName name="IQ_CASH_FLOW_MEDIAN_EST">"c4158"</definedName>
    <definedName name="IQ_CASH_FLOW_NUM_EST">"c4159"</definedName>
    <definedName name="IQ_CASH_FLOW_STDDEV_EST">"c4160"</definedName>
    <definedName name="IQ_CASH_IN_PROCESS_FDIC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>"c4164"</definedName>
    <definedName name="IQ_CASH_OPER_ACT_OR_EST_CIQ">"c4576"</definedName>
    <definedName name="IQ_CASH_OPER_AP">"c8888"</definedName>
    <definedName name="IQ_CASH_OPER_AP_ABS">"c8907"</definedName>
    <definedName name="IQ_CASH_OPER_EST">"c4163"</definedName>
    <definedName name="IQ_CASH_OPER_GUIDANCE">"c4165"</definedName>
    <definedName name="IQ_CASH_OPER_HIGH_EST">"c4166"</definedName>
    <definedName name="IQ_CASH_OPER_HIGH_GUIDANCE">"c4185"</definedName>
    <definedName name="IQ_CASH_OPER_LOW_EST">"c4244"</definedName>
    <definedName name="IQ_CASH_OPER_LOW_GUIDANCE">"c4225"</definedName>
    <definedName name="IQ_CASH_OPER_MEDIAN_EST">"c4245"</definedName>
    <definedName name="IQ_CASH_OPER_NAME_AP">"c8926"</definedName>
    <definedName name="IQ_CASH_OPER_NAME_AP_ABS">"c8945"</definedName>
    <definedName name="IQ_CASH_OPER_NUM_EST">"c4246"</definedName>
    <definedName name="IQ_CASH_OPER_STDDEV_EST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ST_INVEST_EST">"c4249"</definedName>
    <definedName name="IQ_CASH_ST_INVEST_GUIDANCE">"c4250"</definedName>
    <definedName name="IQ_CASH_ST_INVEST_HIGH_EST">"c4251"</definedName>
    <definedName name="IQ_CASH_ST_INVEST_HIGH_GUIDANCE">"c4195"</definedName>
    <definedName name="IQ_CASH_ST_INVEST_LOW_EST">"c4252"</definedName>
    <definedName name="IQ_CASH_ST_INVEST_LOW_GUIDANCE">"c4235"</definedName>
    <definedName name="IQ_CASH_ST_INVEST_MEDIAN_EST">"c4253"</definedName>
    <definedName name="IQ_CASH_ST_INVEST_NUM_EST">"c4254"</definedName>
    <definedName name="IQ_CASH_ST_INVEST_STDDEV_EST">"c4255"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CE_FDIC">"c6296"</definedName>
    <definedName name="IQ_CDS_5YR_CIQID">"c11751"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>"c2743"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PC_EARNED">"c2748"</definedName>
    <definedName name="IQ_CEDED_WRITTEN">"c2727"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PS_ACT_OR_EST">"c2217"</definedName>
    <definedName name="IQ_CFPS_ACT_OR_EST_REUT">"c5463"</definedName>
    <definedName name="IQ_CFPS_EST">"c1667"</definedName>
    <definedName name="IQ_CFPS_EST_REUT">"c3844"</definedName>
    <definedName name="IQ_CFPS_GUIDANCE">"c4256"</definedName>
    <definedName name="IQ_CFPS_HIGH_EST">"c1669"</definedName>
    <definedName name="IQ_CFPS_HIGH_EST_REUT">"c3846"</definedName>
    <definedName name="IQ_CFPS_HIGH_GUIDANCE">"c4167"</definedName>
    <definedName name="IQ_CFPS_LOW_EST">"c1670"</definedName>
    <definedName name="IQ_CFPS_LOW_EST_REUT">"c3847"</definedName>
    <definedName name="IQ_CFPS_LOW_GUIDANCE">"c4207"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>"c8500"</definedName>
    <definedName name="IQ_CHANGE_INVENT_REAL_APR_UNUSED">"c7620"</definedName>
    <definedName name="IQ_CHANGE_INVENT_REAL_APR_UNUSED_UNUSED_UNUSED">"c7620"</definedName>
    <definedName name="IQ_CHANGE_INVENT_REAL_FC_UNUSED">"c7840"</definedName>
    <definedName name="IQ_CHANGE_INVENT_REAL_FC_UNUSED_UNUSED_UNUSED">"c7840"</definedName>
    <definedName name="IQ_CHANGE_INVENT_REAL_POP_FC_UNUSED">"c8060"</definedName>
    <definedName name="IQ_CHANGE_INVENT_REAL_POP_FC_UNUSED_UNUSED_UNUSED">"c8060"</definedName>
    <definedName name="IQ_CHANGE_INVENT_REAL_POP_UNUSED">"c7180"</definedName>
    <definedName name="IQ_CHANGE_INVENT_REAL_POP_UNUSED_UNUSED_UNUSED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>"c8280"</definedName>
    <definedName name="IQ_CHANGE_INVENT_REAL_YOY_UNUSED">"c7400"</definedName>
    <definedName name="IQ_CHANGE_INVENT_REAL_YOY_UNUSED_UNUSED_UNUSED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ATERAL_TYPE">"c8954"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EXP_DATE">"c3043"</definedName>
    <definedName name="IQ_CONV_PREMIUM">"c2195"</definedName>
    <definedName name="IQ_CONV_PRICE">"c2193"</definedName>
    <definedName name="IQ_CONV_RATE">"c2192"</definedName>
    <definedName name="IQ_CONV_RATIO">"c2192"</definedName>
    <definedName name="IQ_CONV_SECURITY">"c2189"</definedName>
    <definedName name="IQ_CONV_SECURITY_ISSUER">"c2190"</definedName>
    <definedName name="IQ_CONV_SECURITY_PRICE">"c2194"</definedName>
    <definedName name="IQ_CONVERT">"c2536"</definedName>
    <definedName name="IQ_CONVERT_PCT">"c2537"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">"c8381"</definedName>
    <definedName name="IQ_CORP_GOODS_PRICE_INDEX_APR_FC_UNUSED_UNUSED_UNUSED">"c8381"</definedName>
    <definedName name="IQ_CORP_GOODS_PRICE_INDEX_APR_UNUSED">"c7501"</definedName>
    <definedName name="IQ_CORP_GOODS_PRICE_INDEX_APR_UNUSED_UNUSED_UNUSED">"c7501"</definedName>
    <definedName name="IQ_CORP_GOODS_PRICE_INDEX_FC_UNUSED">"c7721"</definedName>
    <definedName name="IQ_CORP_GOODS_PRICE_INDEX_FC_UNUSED_UNUSED_UNUSED">"c7721"</definedName>
    <definedName name="IQ_CORP_GOODS_PRICE_INDEX_POP_FC_UNUSED">"c7941"</definedName>
    <definedName name="IQ_CORP_GOODS_PRICE_INDEX_POP_FC_UNUSED_UNUSED_UNUSED">"c7941"</definedName>
    <definedName name="IQ_CORP_GOODS_PRICE_INDEX_POP_UNUSED">"c7061"</definedName>
    <definedName name="IQ_CORP_GOODS_PRICE_INDEX_POP_UNUSED_UNUSED_UNUSED">"c7061"</definedName>
    <definedName name="IQ_CORP_GOODS_PRICE_INDEX_UNUSED">"c6841"</definedName>
    <definedName name="IQ_CORP_GOODS_PRICE_INDEX_UNUSED_UNUSED_UNUSED">"c6841"</definedName>
    <definedName name="IQ_CORP_GOODS_PRICE_INDEX_YOY_FC_UNUSED">"c8161"</definedName>
    <definedName name="IQ_CORP_GOODS_PRICE_INDEX_YOY_FC_UNUSED_UNUSED_UNUSED">"c8161"</definedName>
    <definedName name="IQ_CORP_GOODS_PRICE_INDEX_YOY_UNUSED">"c7281"</definedName>
    <definedName name="IQ_CORP_GOODS_PRICE_INDEX_YOY_UNUSED_UNUSED_UNUSED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ST_BORROWING">"c2936"</definedName>
    <definedName name="IQ_COST_BORROWINGS">"c225"</definedName>
    <definedName name="IQ_COST_CAPITAL_NEW_BUSINESS">"c9968"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>"c8965"</definedName>
    <definedName name="IQ_COVERED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>"c6652"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EXPOSURE">"c10038"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">"c8387"</definedName>
    <definedName name="IQ_CURR_ACCT_BALANCE_APR_FC_UNUSED_UNUSED_UNUSED">"c8387"</definedName>
    <definedName name="IQ_CURR_ACCT_BALANCE_APR_UNUSED">"c7507"</definedName>
    <definedName name="IQ_CURR_ACCT_BALANCE_APR_UNUSED_UNUSED_UNUSED">"c7507"</definedName>
    <definedName name="IQ_CURR_ACCT_BALANCE_FC_UNUSED">"c7727"</definedName>
    <definedName name="IQ_CURR_ACCT_BALANCE_FC_UNUSED_UNUSED_UNUSED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>"c7947"</definedName>
    <definedName name="IQ_CURR_ACCT_BALANCE_POP_UNUSED">"c7067"</definedName>
    <definedName name="IQ_CURR_ACCT_BALANCE_POP_UNUSED_UNUSED_UNUSED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>"c8167"</definedName>
    <definedName name="IQ_CURR_ACCT_BALANCE_YOY_UNUSED">"c7287"</definedName>
    <definedName name="IQ_CURR_ACCT_BALANCE_YOY_UNUSED_UNUSED_UNUSED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>"c6780"</definedName>
    <definedName name="IQ_CURRENT_BENCHMARK_CIQID">"c6781"</definedName>
    <definedName name="IQ_CURRENT_BENCHMARK_MATURITY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DELAY">"c8963"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BT_ADJ">"c2515"</definedName>
    <definedName name="IQ_DEBT_ADJ_PCT">"c2516"</definedName>
    <definedName name="IQ_DEBT_EQUITY_EST">"c4257"</definedName>
    <definedName name="IQ_DEBT_EQUITY_HIGH_EST">"c4258"</definedName>
    <definedName name="IQ_DEBT_EQUITY_LOW_EST">"c4259"</definedName>
    <definedName name="IQ_DEBT_EQUITY_MEDIAN_EST">"c4260"</definedName>
    <definedName name="IQ_DEBT_EQUITY_NUM_EST">"c4261"</definedName>
    <definedName name="IQ_DEBT_EQUITY_STDDEV_EST">"c4262"</definedName>
    <definedName name="IQ_DEBT_EQUIV_NET_PBO">"c2938"</definedName>
    <definedName name="IQ_DEBT_EQUIV_OPER_LEASE">"c2935"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INTEREST_SECURITIES">"c5509"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>"c4263"</definedName>
    <definedName name="IQ_DILUT_OUTSTANDING_CURRENT_HIGH_EST">"c4264"</definedName>
    <definedName name="IQ_DILUT_OUTSTANDING_CURRENT_LOW_EST">"c4265"</definedName>
    <definedName name="IQ_DILUT_OUTSTANDING_CURRENT_MEDIAN_EST">"c4266"</definedName>
    <definedName name="IQ_DILUT_OUTSTANDING_CURRENT_NUM_EST">"c4267"</definedName>
    <definedName name="IQ_DILUT_OUTSTANDING_CURRENT_STDDEV_EST">"c4268"</definedName>
    <definedName name="IQ_DILUT_WEIGHT">"c326"</definedName>
    <definedName name="IQ_DILUT_WEIGHT_EST">"c4269"</definedName>
    <definedName name="IQ_DILUT_WEIGHT_GUIDANCE">"c4270"</definedName>
    <definedName name="IQ_DILUT_WEIGHT_HIGH_EST">"c4271"</definedName>
    <definedName name="IQ_DILUT_WEIGHT_LOW_EST">"c4272"</definedName>
    <definedName name="IQ_DILUT_WEIGHT_MEDIAN_EST">"c4273"</definedName>
    <definedName name="IQ_DILUT_WEIGHT_NUM_EST">"c4274"</definedName>
    <definedName name="IQ_DILUT_WEIGHT_STDDEV_EST">"c4275"</definedName>
    <definedName name="IQ_DIRECT_AH_EARNED">"c2740"</definedName>
    <definedName name="IQ_DIRECT_EARNED">"c2730"</definedName>
    <definedName name="IQ_DIRECT_LIFE_EARNED">"c2735"</definedName>
    <definedName name="IQ_DIRECT_LIFE_IN_FORCE">"c2765"</definedName>
    <definedName name="IQ_DIRECT_PC_EARNED">"c2745"</definedName>
    <definedName name="IQ_DIRECT_WRITTEN">"c2724"</definedName>
    <definedName name="IQ_DISCONT_OPER">"c1367"</definedName>
    <definedName name="IQ_DISCOUNT_RATE_PENSION_DOMESTIC">"c327"</definedName>
    <definedName name="IQ_DISCOUNT_RATE_PENSION_FOREIGN">"c328"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>"c4278"</definedName>
    <definedName name="IQ_DISTRIBUTABLE_CASH_ACT_OR_EST_CIQ">"c4803"</definedName>
    <definedName name="IQ_DISTRIBUTABLE_CASH_EST">"c4277"</definedName>
    <definedName name="IQ_DISTRIBUTABLE_CASH_GUIDANCE">"c4279"</definedName>
    <definedName name="IQ_DISTRIBUTABLE_CASH_HIGH_EST">"c4280"</definedName>
    <definedName name="IQ_DISTRIBUTABLE_CASH_HIGH_GUIDANCE">"c4198"</definedName>
    <definedName name="IQ_DISTRIBUTABLE_CASH_LOW_EST">"c4281"</definedName>
    <definedName name="IQ_DISTRIBUTABLE_CASH_LOW_GUIDANCE">"c4238"</definedName>
    <definedName name="IQ_DISTRIBUTABLE_CASH_MEDIAN_EST">"c4282"</definedName>
    <definedName name="IQ_DISTRIBUTABLE_CASH_NUM_EST">"c4283"</definedName>
    <definedName name="IQ_DISTRIBUTABLE_CASH_PAYOUT">"c3005"</definedName>
    <definedName name="IQ_DISTRIBUTABLE_CASH_SHARE">"c3003"</definedName>
    <definedName name="IQ_DISTRIBUTABLE_CASH_SHARE_ACT_OR_EST">"c4286"</definedName>
    <definedName name="IQ_DISTRIBUTABLE_CASH_SHARE_ACT_OR_EST_CIQ">"c4811"</definedName>
    <definedName name="IQ_DISTRIBUTABLE_CASH_SHARE_EST">"c4285"</definedName>
    <definedName name="IQ_DISTRIBUTABLE_CASH_SHARE_GUIDANCE">"c4287"</definedName>
    <definedName name="IQ_DISTRIBUTABLE_CASH_SHARE_HIGH_EST">"c4288"</definedName>
    <definedName name="IQ_DISTRIBUTABLE_CASH_SHARE_HIGH_GUIDANCE">"c4199"</definedName>
    <definedName name="IQ_DISTRIBUTABLE_CASH_SHARE_LOW_EST">"c4289"</definedName>
    <definedName name="IQ_DISTRIBUTABLE_CASH_SHARE_LOW_GUIDANCE">"c4239"</definedName>
    <definedName name="IQ_DISTRIBUTABLE_CASH_SHARE_MEDIAN_EST">"c4290"</definedName>
    <definedName name="IQ_DISTRIBUTABLE_CASH_SHARE_NUM_EST">"c4291"</definedName>
    <definedName name="IQ_DISTRIBUTABLE_CASH_SHARE_STDDEV_EST">"c4292"</definedName>
    <definedName name="IQ_DISTRIBUTABLE_CASH_STDDEV_EST">"c4294"</definedName>
    <definedName name="IQ_DIV_AMOUNT">"c3041"</definedName>
    <definedName name="IQ_DIV_PAYMENT_DATE">"c2205"</definedName>
    <definedName name="IQ_DIV_PAYMENT_TYPE">"c12752"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EST">"c4296"</definedName>
    <definedName name="IQ_DIVIDEND_HIGH_EST">"c4297"</definedName>
    <definedName name="IQ_DIVIDEND_LOW_EST">"c4298"</definedName>
    <definedName name="IQ_DIVIDEND_MEDIAN_EST">"c4299"</definedName>
    <definedName name="IQ_DIVIDEND_NUM_EST">"c4300"</definedName>
    <definedName name="IQ_DIVIDEND_STDDEV_EST">"c4301"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>"c6032"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>"c2218"</definedName>
    <definedName name="IQ_DPS_ACT_OR_EST_REUT">"c5464"</definedName>
    <definedName name="IQ_DPS_EST">"c1674"</definedName>
    <definedName name="IQ_DPS_EST_BOTTOM_UP">"c5493"</definedName>
    <definedName name="IQ_DPS_EST_BOTTOM_UP_REUT">"c5501"</definedName>
    <definedName name="IQ_DPS_EST_REUT">"c3851"</definedName>
    <definedName name="IQ_DPS_GUIDANCE">"c4302"</definedName>
    <definedName name="IQ_DPS_HIGH_EST">"c1676"</definedName>
    <definedName name="IQ_DPS_HIGH_EST_REUT">"c3853"</definedName>
    <definedName name="IQ_DPS_HIGH_GUIDANCE">"c4168"</definedName>
    <definedName name="IQ_DPS_LOW_EST">"c1677"</definedName>
    <definedName name="IQ_DPS_LOW_EST_REUT">"c3854"</definedName>
    <definedName name="IQ_DPS_LOW_GUIDANCE">"c4208"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>"c5314"</definedName>
    <definedName name="IQ_EARNINGS_COVERAGE_NET_CHARGE_OFFS_FDIC">"c6735"</definedName>
    <definedName name="IQ_EARNINGS_PERIOD_COVERED">"c9958"</definedName>
    <definedName name="IQ_EARNINGS_PERIOD_GROUP">"c9944"</definedName>
    <definedName name="IQ_EBIT">"c352"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>"c2219"</definedName>
    <definedName name="IQ_EBIT_ACT_OR_EST_REUT">"c5465"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XCL_SBC">"c3082"</definedName>
    <definedName name="IQ_EBIT_GUIDANCE">"c4303"</definedName>
    <definedName name="IQ_EBIT_GW_ACT_OR_EST">"c4306"</definedName>
    <definedName name="IQ_EBIT_GW_EST">"c4305"</definedName>
    <definedName name="IQ_EBIT_GW_GUIDANCE">"c4307"</definedName>
    <definedName name="IQ_EBIT_GW_HIGH_EST">"c4308"</definedName>
    <definedName name="IQ_EBIT_GW_HIGH_GUIDANCE">"c4171"</definedName>
    <definedName name="IQ_EBIT_GW_LOW_EST">"c4309"</definedName>
    <definedName name="IQ_EBIT_GW_LOW_GUIDANCE">"c4211"</definedName>
    <definedName name="IQ_EBIT_GW_MEDIAN_EST">"c4310"</definedName>
    <definedName name="IQ_EBIT_GW_NUM_EST">"c4311"</definedName>
    <definedName name="IQ_EBIT_GW_STDDEV_EST">"c4312"</definedName>
    <definedName name="IQ_EBIT_HIGH_EST">"c1683"</definedName>
    <definedName name="IQ_EBIT_HIGH_EST_REUT">"c5335"</definedName>
    <definedName name="IQ_EBIT_HIGH_GUIDANCE">"c4172"</definedName>
    <definedName name="IQ_EBIT_INT">"c360"</definedName>
    <definedName name="IQ_EBIT_LOW_EST">"c1684"</definedName>
    <definedName name="IQ_EBIT_LOW_EST_REUT">"c5336"</definedName>
    <definedName name="IQ_EBIT_LOW_GUIDANCE">"c4212"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BC_ACT_OR_EST">"c4316"</definedName>
    <definedName name="IQ_EBIT_SBC_ACT_OR_EST_CIQ">"c4841"</definedName>
    <definedName name="IQ_EBIT_SBC_EST">"c4315"</definedName>
    <definedName name="IQ_EBIT_SBC_GUIDANCE">"c4317"</definedName>
    <definedName name="IQ_EBIT_SBC_GW_ACT_OR_EST">"c4320"</definedName>
    <definedName name="IQ_EBIT_SBC_GW_ACT_OR_EST_CIQ">"c4845"</definedName>
    <definedName name="IQ_EBIT_SBC_GW_EST">"c4319"</definedName>
    <definedName name="IQ_EBIT_SBC_GW_GUIDANCE">"c4321"</definedName>
    <definedName name="IQ_EBIT_SBC_GW_HIGH_EST">"c4322"</definedName>
    <definedName name="IQ_EBIT_SBC_GW_HIGH_GUIDANCE">"c4193"</definedName>
    <definedName name="IQ_EBIT_SBC_GW_LOW_EST">"c4323"</definedName>
    <definedName name="IQ_EBIT_SBC_GW_LOW_GUIDANCE">"c4233"</definedName>
    <definedName name="IQ_EBIT_SBC_GW_MEDIAN_EST">"c4324"</definedName>
    <definedName name="IQ_EBIT_SBC_GW_NUM_EST">"c4325"</definedName>
    <definedName name="IQ_EBIT_SBC_GW_STDDEV_EST">"c4326"</definedName>
    <definedName name="IQ_EBIT_SBC_HIGH_EST">"c4328"</definedName>
    <definedName name="IQ_EBIT_SBC_HIGH_GUIDANCE">"c4192"</definedName>
    <definedName name="IQ_EBIT_SBC_LOW_EST">"c4329"</definedName>
    <definedName name="IQ_EBIT_SBC_LOW_GUIDANCE">"c4232"</definedName>
    <definedName name="IQ_EBIT_SBC_MEDIAN_EST">"c4330"</definedName>
    <definedName name="IQ_EBIT_SBC_NUM_EST">"c4331"</definedName>
    <definedName name="IQ_EBIT_SBC_STDDEV_EST">"c4332"</definedName>
    <definedName name="IQ_EBIT_STDDEV_EST">"c1686"</definedName>
    <definedName name="IQ_EBIT_STDDEV_EST_REUT">"c5338"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CAPEX_INT">"c368"</definedName>
    <definedName name="IQ_EBITDA_CAPEX_OVER_TOTAL_IE">"c1370"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>"c3640"</definedName>
    <definedName name="IQ_EBITDA_EXCL_SBC">"c3081"</definedName>
    <definedName name="IQ_EBITDA_GUIDANCE">"c4334"</definedName>
    <definedName name="IQ_EBITDA_HIGH_EST">"c370"</definedName>
    <definedName name="IQ_EBITDA_HIGH_EST_CIQ">"c3624"</definedName>
    <definedName name="IQ_EBITDA_HIGH_EST_REUT">"c3642"</definedName>
    <definedName name="IQ_EBITDA_HIGH_GUIDANCE">"c4170"</definedName>
    <definedName name="IQ_EBITDA_INT">"c373"</definedName>
    <definedName name="IQ_EBITDA_LOW_EST">"c371"</definedName>
    <definedName name="IQ_EBITDA_LOW_EST_CIQ">"c3625"</definedName>
    <definedName name="IQ_EBITDA_LOW_EST_REUT">"c3643"</definedName>
    <definedName name="IQ_EBITDA_LOW_GUIDANCE">"c4210"</definedName>
    <definedName name="IQ_EBITDA_MARGIN">"c372"</definedName>
    <definedName name="IQ_EBITDA_MEDIAN_EST">"c1663"</definedName>
    <definedName name="IQ_EBITDA_MEDIAN_EST_CIQ">"c3623"</definedName>
    <definedName name="IQ_EBITDA_MEDIAN_EST_REUT">"c3641"</definedName>
    <definedName name="IQ_EBITDA_NUM_EST">"c374"</definedName>
    <definedName name="IQ_EBITDA_NUM_EST_CIQ">"c3626"</definedName>
    <definedName name="IQ_EBITDA_NUM_EST_REUT">"c3644"</definedName>
    <definedName name="IQ_EBITDA_OVER_TOTAL_IE">"c1371"</definedName>
    <definedName name="IQ_EBITDA_SBC_ACT_OR_EST">"c4337"</definedName>
    <definedName name="IQ_EBITDA_SBC_ACT_OR_EST_CIQ">"c4862"</definedName>
    <definedName name="IQ_EBITDA_SBC_EST">"c4336"</definedName>
    <definedName name="IQ_EBITDA_SBC_GUIDANCE">"c4338"</definedName>
    <definedName name="IQ_EBITDA_SBC_HIGH_EST">"c4339"</definedName>
    <definedName name="IQ_EBITDA_SBC_HIGH_GUIDANCE">"c4194"</definedName>
    <definedName name="IQ_EBITDA_SBC_LOW_EST">"c4340"</definedName>
    <definedName name="IQ_EBITDA_SBC_LOW_GUIDANCE">"c4234"</definedName>
    <definedName name="IQ_EBITDA_SBC_MEDIAN_EST">"c4341"</definedName>
    <definedName name="IQ_EBITDA_SBC_NUM_EST">"c4342"</definedName>
    <definedName name="IQ_EBITDA_SBC_STDDEV_EST">"c4343"</definedName>
    <definedName name="IQ_EBITDA_STDDEV_EST">"c375"</definedName>
    <definedName name="IQ_EBITDA_STDDEV_EST_CIQ">"c3627"</definedName>
    <definedName name="IQ_EBITDA_STDDEV_EST_REUT">"c3645"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IN">"c386"</definedName>
    <definedName name="IQ_EBT_GAAP_GUIDANCE">"c4345"</definedName>
    <definedName name="IQ_EBT_GAAP_HIGH_GUIDANCE">"c4174"</definedName>
    <definedName name="IQ_EBT_GAAP_LOW_GUIDANCE">"c4214"</definedName>
    <definedName name="IQ_EBT_GUIDANCE">"c4346"</definedName>
    <definedName name="IQ_EBT_GW_GUIDANCE">"c4347"</definedName>
    <definedName name="IQ_EBT_GW_HIGH_GUIDANCE">"c4175"</definedName>
    <definedName name="IQ_EBT_GW_LOW_GUIDANCE">"c4215"</definedName>
    <definedName name="IQ_EBT_HIGH_GUIDANCE">"c4173"</definedName>
    <definedName name="IQ_EBT_INCL_MARGIN">"c387"</definedName>
    <definedName name="IQ_EBT_INS">"c388"</definedName>
    <definedName name="IQ_EBT_LOW_GUIDANCE">"c4213"</definedName>
    <definedName name="IQ_EBT_RE">"c6215"</definedName>
    <definedName name="IQ_EBT_REIT">"c389"</definedName>
    <definedName name="IQ_EBT_SBC_ACT_OR_EST">"c4350"</definedName>
    <definedName name="IQ_EBT_SBC_ACT_OR_EST_CIQ">"c4875"</definedName>
    <definedName name="IQ_EBT_SBC_EST">"c4349"</definedName>
    <definedName name="IQ_EBT_SBC_GUIDANCE">"c4351"</definedName>
    <definedName name="IQ_EBT_SBC_GW_ACT_OR_EST">"c4354"</definedName>
    <definedName name="IQ_EBT_SBC_GW_ACT_OR_EST_CIQ">"c4879"</definedName>
    <definedName name="IQ_EBT_SBC_GW_EST">"c4353"</definedName>
    <definedName name="IQ_EBT_SBC_GW_GUIDANCE">"c4355"</definedName>
    <definedName name="IQ_EBT_SBC_GW_HIGH_EST">"c4356"</definedName>
    <definedName name="IQ_EBT_SBC_GW_HIGH_GUIDANCE">"c4191"</definedName>
    <definedName name="IQ_EBT_SBC_GW_LOW_EST">"c4357"</definedName>
    <definedName name="IQ_EBT_SBC_GW_LOW_GUIDANCE">"c4231"</definedName>
    <definedName name="IQ_EBT_SBC_GW_MEDIAN_EST">"c4358"</definedName>
    <definedName name="IQ_EBT_SBC_GW_NUM_EST">"c4359"</definedName>
    <definedName name="IQ_EBT_SBC_GW_STDDEV_EST">"c4360"</definedName>
    <definedName name="IQ_EBT_SBC_HIGH_EST">"c4362"</definedName>
    <definedName name="IQ_EBT_SBC_HIGH_GUIDANCE">"c4190"</definedName>
    <definedName name="IQ_EBT_SBC_LOW_EST">"c4363"</definedName>
    <definedName name="IQ_EBT_SBC_LOW_GUIDANCE">"c4230"</definedName>
    <definedName name="IQ_EBT_SBC_MEDIAN_EST">"c4364"</definedName>
    <definedName name="IQ_EBT_SBC_NUM_EST">"c4365"</definedName>
    <definedName name="IQ_EBT_SBC_STDDEV_EST">"c4366"</definedName>
    <definedName name="IQ_EBT_SUBTOTAL_AP">"c8982"</definedName>
    <definedName name="IQ_EBT_UTI">"c390"</definedName>
    <definedName name="IQ_ECO_METRIC_6825_UNUSED">"c6825"</definedName>
    <definedName name="IQ_ECO_METRIC_6825_UNUSED_UNUSED_UNUSED">"c6825"</definedName>
    <definedName name="IQ_ECO_METRIC_6839_UNUSED">"c6839"</definedName>
    <definedName name="IQ_ECO_METRIC_6839_UNUSED_UNUSED_UNUSED">"c6839"</definedName>
    <definedName name="IQ_ECO_METRIC_6896_UNUSED">"c6896"</definedName>
    <definedName name="IQ_ECO_METRIC_6896_UNUSED_UNUSED_UNUSED">"c6896"</definedName>
    <definedName name="IQ_ECO_METRIC_6897_UNUSED">"c6897"</definedName>
    <definedName name="IQ_ECO_METRIC_6897_UNUSED_UNUSED_UNUSED">"c6897"</definedName>
    <definedName name="IQ_ECO_METRIC_6927">"c6927"</definedName>
    <definedName name="IQ_ECO_METRIC_6988_UNUSED">"c6988"</definedName>
    <definedName name="IQ_ECO_METRIC_6988_UNUSED_UNUSED_UNUSED">"c6988"</definedName>
    <definedName name="IQ_ECO_METRIC_7045_UNUSED">"c7045"</definedName>
    <definedName name="IQ_ECO_METRIC_7045_UNUSED_UNUSED_UNUSED">"c7045"</definedName>
    <definedName name="IQ_ECO_METRIC_7059_UNUSED">"c7059"</definedName>
    <definedName name="IQ_ECO_METRIC_7059_UNUSED_UNUSED_UNUSED">"c7059"</definedName>
    <definedName name="IQ_ECO_METRIC_7116_UNUSED">"c7116"</definedName>
    <definedName name="IQ_ECO_METRIC_7116_UNUSED_UNUSED_UNUSED">"c7116"</definedName>
    <definedName name="IQ_ECO_METRIC_7117_UNUSED">"c7117"</definedName>
    <definedName name="IQ_ECO_METRIC_7117_UNUSED_UNUSED_UNUSED">"c7117"</definedName>
    <definedName name="IQ_ECO_METRIC_7147">"c7147"</definedName>
    <definedName name="IQ_ECO_METRIC_7208_UNUSED">"c7208"</definedName>
    <definedName name="IQ_ECO_METRIC_7208_UNUSED_UNUSED_UNUSED">"c7208"</definedName>
    <definedName name="IQ_ECO_METRIC_7265_UNUSED">"c7265"</definedName>
    <definedName name="IQ_ECO_METRIC_7265_UNUSED_UNUSED_UNUSED">"c7265"</definedName>
    <definedName name="IQ_ECO_METRIC_7279_UNUSED">"c7279"</definedName>
    <definedName name="IQ_ECO_METRIC_7279_UNUSED_UNUSED_UNUSED">"c7279"</definedName>
    <definedName name="IQ_ECO_METRIC_7336_UNUSED">"c7336"</definedName>
    <definedName name="IQ_ECO_METRIC_7336_UNUSED_UNUSED_UNUSED">"c7336"</definedName>
    <definedName name="IQ_ECO_METRIC_7337_UNUSED">"c7337"</definedName>
    <definedName name="IQ_ECO_METRIC_7337_UNUSED_UNUSED_UNUSED">"c7337"</definedName>
    <definedName name="IQ_ECO_METRIC_7367">"c7367"</definedName>
    <definedName name="IQ_ECO_METRIC_7428_UNUSED">"c7428"</definedName>
    <definedName name="IQ_ECO_METRIC_7428_UNUSED_UNUSED_UNUSED">"c7428"</definedName>
    <definedName name="IQ_ECO_METRIC_7556_UNUSED">"c7556"</definedName>
    <definedName name="IQ_ECO_METRIC_7556_UNUSED_UNUSED_UNUSED">"c7556"</definedName>
    <definedName name="IQ_ECO_METRIC_7557_UNUSED">"c7557"</definedName>
    <definedName name="IQ_ECO_METRIC_7557_UNUSED_UNUSED_UNUSED">"c7557"</definedName>
    <definedName name="IQ_ECO_METRIC_7587">"c7587"</definedName>
    <definedName name="IQ_ECO_METRIC_7648_UNUSED">"c7648"</definedName>
    <definedName name="IQ_ECO_METRIC_7648_UNUSED_UNUSED_UNUSED">"c7648"</definedName>
    <definedName name="IQ_ECO_METRIC_7704">"c7704"</definedName>
    <definedName name="IQ_ECO_METRIC_7705_UNUSED">"c7705"</definedName>
    <definedName name="IQ_ECO_METRIC_7705_UNUSED_UNUSED_UNUSED">"c7705"</definedName>
    <definedName name="IQ_ECO_METRIC_7706">"c7706"</definedName>
    <definedName name="IQ_ECO_METRIC_7718">"c7718"</definedName>
    <definedName name="IQ_ECO_METRIC_7719_UNUSED">"c7719"</definedName>
    <definedName name="IQ_ECO_METRIC_7719_UNUSED_UNUSED_UNUSED">"c7719"</definedName>
    <definedName name="IQ_ECO_METRIC_7776_UNUSED">"c7776"</definedName>
    <definedName name="IQ_ECO_METRIC_7776_UNUSED_UNUSED_UNUSED">"c7776"</definedName>
    <definedName name="IQ_ECO_METRIC_7777_UNUSED">"c7777"</definedName>
    <definedName name="IQ_ECO_METRIC_7777_UNUSED_UNUSED_UNUSED">"c7777"</definedName>
    <definedName name="IQ_ECO_METRIC_7807">"c7807"</definedName>
    <definedName name="IQ_ECO_METRIC_7811">"c7811"</definedName>
    <definedName name="IQ_ECO_METRIC_7868_UNUSED">"c7868"</definedName>
    <definedName name="IQ_ECO_METRIC_7868_UNUSED_UNUSED_UNUSED">"c7868"</definedName>
    <definedName name="IQ_ECO_METRIC_7873">"c7873"</definedName>
    <definedName name="IQ_ECO_METRIC_7924">"c7924"</definedName>
    <definedName name="IQ_ECO_METRIC_7925_UNUSED">"c7925"</definedName>
    <definedName name="IQ_ECO_METRIC_7925_UNUSED_UNUSED_UNUSED">"c7925"</definedName>
    <definedName name="IQ_ECO_METRIC_7926">"c7926"</definedName>
    <definedName name="IQ_ECO_METRIC_7938">"c7938"</definedName>
    <definedName name="IQ_ECO_METRIC_7939_UNUSED">"c7939"</definedName>
    <definedName name="IQ_ECO_METRIC_7939_UNUSED_UNUSED_UNUSED">"c7939"</definedName>
    <definedName name="IQ_ECO_METRIC_7996_UNUSED">"c7996"</definedName>
    <definedName name="IQ_ECO_METRIC_7996_UNUSED_UNUSED_UNUSED">"c7996"</definedName>
    <definedName name="IQ_ECO_METRIC_7997_UNUSED">"c7997"</definedName>
    <definedName name="IQ_ECO_METRIC_7997_UNUSED_UNUSED_UNUSED">"c7997"</definedName>
    <definedName name="IQ_ECO_METRIC_8027">"c8027"</definedName>
    <definedName name="IQ_ECO_METRIC_8031">"c8031"</definedName>
    <definedName name="IQ_ECO_METRIC_8088_UNUSED">"c8088"</definedName>
    <definedName name="IQ_ECO_METRIC_8088_UNUSED_UNUSED_UNUSED">"c8088"</definedName>
    <definedName name="IQ_ECO_METRIC_8093">"c8093"</definedName>
    <definedName name="IQ_ECO_METRIC_8144">"c8144"</definedName>
    <definedName name="IQ_ECO_METRIC_8145_UNUSED">"c8145"</definedName>
    <definedName name="IQ_ECO_METRIC_8145_UNUSED_UNUSED_UNUSED">"c8145"</definedName>
    <definedName name="IQ_ECO_METRIC_8146">"c8146"</definedName>
    <definedName name="IQ_ECO_METRIC_8158">"c8158"</definedName>
    <definedName name="IQ_ECO_METRIC_8159_UNUSED">"c8159"</definedName>
    <definedName name="IQ_ECO_METRIC_8159_UNUSED_UNUSED_UNUSED">"c8159"</definedName>
    <definedName name="IQ_ECO_METRIC_8216_UNUSED">"c8216"</definedName>
    <definedName name="IQ_ECO_METRIC_8216_UNUSED_UNUSED_UNUSED">"c8216"</definedName>
    <definedName name="IQ_ECO_METRIC_8217_UNUSED">"c8217"</definedName>
    <definedName name="IQ_ECO_METRIC_8217_UNUSED_UNUSED_UNUSED">"c8217"</definedName>
    <definedName name="IQ_ECO_METRIC_8247">"c8247"</definedName>
    <definedName name="IQ_ECO_METRIC_8251">"c8251"</definedName>
    <definedName name="IQ_ECO_METRIC_8308_UNUSED">"c8308"</definedName>
    <definedName name="IQ_ECO_METRIC_8308_UNUSED_UNUSED_UNUSED">"c8308"</definedName>
    <definedName name="IQ_ECO_METRIC_8313">"c8313"</definedName>
    <definedName name="IQ_ECO_METRIC_8366">"c8366"</definedName>
    <definedName name="IQ_ECO_METRIC_8378">"c8378"</definedName>
    <definedName name="IQ_ECO_METRIC_8436_UNUSED">"c8436"</definedName>
    <definedName name="IQ_ECO_METRIC_8436_UNUSED_UNUSED_UNUSED">"c8436"</definedName>
    <definedName name="IQ_ECO_METRIC_8437_UNUSED">"c8437"</definedName>
    <definedName name="IQ_ECO_METRIC_8437_UNUSED_UNUSED_UNUSED">"c8437"</definedName>
    <definedName name="IQ_ECO_METRIC_8467">"c8467"</definedName>
    <definedName name="IQ_ECO_METRIC_8471">"c8471"</definedName>
    <definedName name="IQ_ECO_METRIC_8528_UNUSED">"c8528"</definedName>
    <definedName name="IQ_ECO_METRIC_8528_UNUSED_UNUSED_UNUSED">"c8528"</definedName>
    <definedName name="IQ_ECO_METRIC_8533">"c8533"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>"c1595"</definedName>
    <definedName name="IQ_EFFECT_TAX_RATE">"c1899"</definedName>
    <definedName name="IQ_EFFECTIVE_DATE">"c8966"</definedName>
    <definedName name="IQ_EFFICIENCY_RATIO">"c391"</definedName>
    <definedName name="IQ_EFFICIENCY_RATIO_FDIC">"c6736"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NTERPRISE_VALUE">"c1348"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P">"c8880"</definedName>
    <definedName name="IQ_EPS_AP_ABS">"c8899"</definedName>
    <definedName name="IQ_EPS_EST">"c399"</definedName>
    <definedName name="IQ_EPS_EST_BOTTOM_UP">"c5489"</definedName>
    <definedName name="IQ_EPS_EST_BOTTOM_UP_REUT">"c5497"</definedName>
    <definedName name="IQ_EPS_EST_CIQ">"c4994"</definedName>
    <definedName name="IQ_EPS_EST_REUT">"c5453"</definedName>
    <definedName name="IQ_EPS_EXCL_GUIDANCE">"c4368"</definedName>
    <definedName name="IQ_EPS_EXCL_HIGH_GUIDANCE">"c4369"</definedName>
    <definedName name="IQ_EPS_EXCL_LOW_GUIDANCE">"c4204"</definedName>
    <definedName name="IQ_EPS_GAAP_GUIDANCE">"c4370"</definedName>
    <definedName name="IQ_EPS_GAAP_HIGH_GUIDANCE">"c4371"</definedName>
    <definedName name="IQ_EPS_GAAP_LOW_GUIDANCE">"c4205"</definedName>
    <definedName name="IQ_EPS_GW_ACT_OR_EST">"c2223"</definedName>
    <definedName name="IQ_EPS_GW_ACT_OR_EST_CIQ">"c5066"</definedName>
    <definedName name="IQ_EPS_GW_ACT_OR_EST_REUT">"c5469"</definedName>
    <definedName name="IQ_EPS_GW_EST">"c1737"</definedName>
    <definedName name="IQ_EPS_GW_EST_BOTTOM_UP">"c5491"</definedName>
    <definedName name="IQ_EPS_GW_EST_BOTTOM_UP_REUT">"c5499"</definedName>
    <definedName name="IQ_EPS_GW_EST_CIQ">"c4723"</definedName>
    <definedName name="IQ_EPS_GW_EST_REUT">"c5389"</definedName>
    <definedName name="IQ_EPS_GW_GUIDANCE">"c4372"</definedName>
    <definedName name="IQ_EPS_GW_HIGH_EST">"c1739"</definedName>
    <definedName name="IQ_EPS_GW_HIGH_EST_CIQ">"c4725"</definedName>
    <definedName name="IQ_EPS_GW_HIGH_EST_REUT">"c5391"</definedName>
    <definedName name="IQ_EPS_GW_HIGH_GUIDANCE">"c4373"</definedName>
    <definedName name="IQ_EPS_GW_LOW_EST">"c1740"</definedName>
    <definedName name="IQ_EPS_GW_LOW_EST_CIQ">"c4726"</definedName>
    <definedName name="IQ_EPS_GW_LOW_EST_REUT">"c5392"</definedName>
    <definedName name="IQ_EPS_GW_LOW_GUIDANCE">"c4206"</definedName>
    <definedName name="IQ_EPS_GW_MEDIAN_EST">"c1738"</definedName>
    <definedName name="IQ_EPS_GW_MEDIAN_EST_CIQ">"c4724"</definedName>
    <definedName name="IQ_EPS_GW_MEDIAN_EST_REUT">"c5390"</definedName>
    <definedName name="IQ_EPS_GW_NUM_EST">"c1741"</definedName>
    <definedName name="IQ_EPS_GW_NUM_EST_CIQ">"c4727"</definedName>
    <definedName name="IQ_EPS_GW_NUM_EST_REUT">"c5393"</definedName>
    <definedName name="IQ_EPS_GW_STDDEV_EST">"c1742"</definedName>
    <definedName name="IQ_EPS_GW_STDDEV_EST_CIQ">"c4728"</definedName>
    <definedName name="IQ_EPS_GW_STDDEV_EST_REUT">"c5394"</definedName>
    <definedName name="IQ_EPS_HIGH_EST">"c400"</definedName>
    <definedName name="IQ_EPS_HIGH_EST_CIQ">"c4995"</definedName>
    <definedName name="IQ_EPS_HIGH_EST_REUT">"c5454"</definedName>
    <definedName name="IQ_EPS_LOW_EST">"c401"</definedName>
    <definedName name="IQ_EPS_LOW_EST_CIQ">"c4996"</definedName>
    <definedName name="IQ_EPS_LOW_EST_REUT">"c5455"</definedName>
    <definedName name="IQ_EPS_MEDIAN_EST">"c1661"</definedName>
    <definedName name="IQ_EPS_MEDIAN_EST_CIQ">"c4997"</definedName>
    <definedName name="IQ_EPS_MEDIAN_EST_REUT">"c5456"</definedName>
    <definedName name="IQ_EPS_NAME_AP">"c8918"</definedName>
    <definedName name="IQ_EPS_NAME_AP_ABS">"c8937"</definedName>
    <definedName name="IQ_EPS_NORM">"c1902"</definedName>
    <definedName name="IQ_EPS_NORM_EST">"c2226"</definedName>
    <definedName name="IQ_EPS_NORM_EST_BOTTOM_UP">"c5490"</definedName>
    <definedName name="IQ_EPS_NORM_EST_BOTTOM_UP_REUT">"c5498"</definedName>
    <definedName name="IQ_EPS_NORM_EST_CIQ">"c4667"</definedName>
    <definedName name="IQ_EPS_NORM_EST_REUT">"c5326"</definedName>
    <definedName name="IQ_EPS_NORM_HIGH_EST">"c2228"</definedName>
    <definedName name="IQ_EPS_NORM_HIGH_EST_CIQ">"c4669"</definedName>
    <definedName name="IQ_EPS_NORM_HIGH_EST_REUT">"c5328"</definedName>
    <definedName name="IQ_EPS_NORM_LOW_EST">"c2229"</definedName>
    <definedName name="IQ_EPS_NORM_LOW_EST_CIQ">"c4670"</definedName>
    <definedName name="IQ_EPS_NORM_LOW_EST_REUT">"c5329"</definedName>
    <definedName name="IQ_EPS_NORM_MEDIAN_EST">"c2227"</definedName>
    <definedName name="IQ_EPS_NORM_MEDIAN_EST_CIQ">"c4668"</definedName>
    <definedName name="IQ_EPS_NORM_MEDIAN_EST_REUT">"c5327"</definedName>
    <definedName name="IQ_EPS_NORM_NUM_EST">"c2230"</definedName>
    <definedName name="IQ_EPS_NORM_NUM_EST_CIQ">"c4671"</definedName>
    <definedName name="IQ_EPS_NORM_NUM_EST_REUT">"c5330"</definedName>
    <definedName name="IQ_EPS_NORM_STDDEV_EST">"c2231"</definedName>
    <definedName name="IQ_EPS_NORM_STDDEV_EST_CIQ">"c4672"</definedName>
    <definedName name="IQ_EPS_NORM_STDDEV_EST_REUT">"c5331"</definedName>
    <definedName name="IQ_EPS_NUM_EST">"c402"</definedName>
    <definedName name="IQ_EPS_NUM_EST_CIQ">"c4992"</definedName>
    <definedName name="IQ_EPS_NUM_EST_REUT">"c5451"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ED_EST">"c1744"</definedName>
    <definedName name="IQ_EPS_REPORTED_EST_BOTTOM_UP">"c5492"</definedName>
    <definedName name="IQ_EPS_REPORTED_EST_BOTTOM_UP_REUT">"c5500"</definedName>
    <definedName name="IQ_EPS_REPORTED_EST_CIQ">"c4730"</definedName>
    <definedName name="IQ_EPS_REPORTED_EST_REUT">"c5396"</definedName>
    <definedName name="IQ_EPS_REPORTED_HIGH_EST">"c1746"</definedName>
    <definedName name="IQ_EPS_REPORTED_HIGH_EST_CIQ">"c4732"</definedName>
    <definedName name="IQ_EPS_REPORTED_HIGH_EST_REUT">"c5398"</definedName>
    <definedName name="IQ_EPS_REPORTED_LOW_EST">"c1747"</definedName>
    <definedName name="IQ_EPS_REPORTED_LOW_EST_CIQ">"c4733"</definedName>
    <definedName name="IQ_EPS_REPORTED_LOW_EST_REUT">"c5399"</definedName>
    <definedName name="IQ_EPS_REPORTED_MEDIAN_EST">"c1745"</definedName>
    <definedName name="IQ_EPS_REPORTED_MEDIAN_EST_CIQ">"c4731"</definedName>
    <definedName name="IQ_EPS_REPORTED_MEDIAN_EST_REUT">"c5397"</definedName>
    <definedName name="IQ_EPS_REPORTED_NUM_EST">"c1748"</definedName>
    <definedName name="IQ_EPS_REPORTED_NUM_EST_CIQ">"c4734"</definedName>
    <definedName name="IQ_EPS_REPORTED_NUM_EST_REUT">"c5400"</definedName>
    <definedName name="IQ_EPS_REPORTED_STDDEV_EST">"c1749"</definedName>
    <definedName name="IQ_EPS_REPORTED_STDDEV_EST_CIQ">"c4735"</definedName>
    <definedName name="IQ_EPS_REPORTED_STDDEV_EST_REUT">"c5401"</definedName>
    <definedName name="IQ_EPS_SBC_ACT_OR_EST">"c4376"</definedName>
    <definedName name="IQ_EPS_SBC_ACT_OR_EST_CIQ">"c4901"</definedName>
    <definedName name="IQ_EPS_SBC_EST">"c4375"</definedName>
    <definedName name="IQ_EPS_SBC_GUIDANCE">"c4377"</definedName>
    <definedName name="IQ_EPS_SBC_GW_ACT_OR_EST">"c4380"</definedName>
    <definedName name="IQ_EPS_SBC_GW_ACT_OR_EST_CIQ">"c4905"</definedName>
    <definedName name="IQ_EPS_SBC_GW_EST">"c4379"</definedName>
    <definedName name="IQ_EPS_SBC_GW_GUIDANCE">"c4381"</definedName>
    <definedName name="IQ_EPS_SBC_GW_HIGH_EST">"c4382"</definedName>
    <definedName name="IQ_EPS_SBC_GW_HIGH_GUIDANCE">"c4189"</definedName>
    <definedName name="IQ_EPS_SBC_GW_LOW_EST">"c4383"</definedName>
    <definedName name="IQ_EPS_SBC_GW_LOW_GUIDANCE">"c4229"</definedName>
    <definedName name="IQ_EPS_SBC_GW_MEDIAN_EST">"c4384"</definedName>
    <definedName name="IQ_EPS_SBC_GW_NUM_EST">"c4385"</definedName>
    <definedName name="IQ_EPS_SBC_GW_STDDEV_EST">"c4386"</definedName>
    <definedName name="IQ_EPS_SBC_HIGH_EST">"c4388"</definedName>
    <definedName name="IQ_EPS_SBC_HIGH_GUIDANCE">"c4188"</definedName>
    <definedName name="IQ_EPS_SBC_LOW_EST">"c4389"</definedName>
    <definedName name="IQ_EPS_SBC_LOW_GUIDANCE">"c4228"</definedName>
    <definedName name="IQ_EPS_SBC_MEDIAN_EST">"c4390"</definedName>
    <definedName name="IQ_EPS_SBC_NUM_EST">"c4391"</definedName>
    <definedName name="IQ_EPS_SBC_STDDEV_EST">"c4392"</definedName>
    <definedName name="IQ_EPS_STDDEV_EST">"c403"</definedName>
    <definedName name="IQ_EPS_STDDEV_EST_CIQ">"c4993"</definedName>
    <definedName name="IQ_EPS_STDDEV_EST_REUT">"c5452"</definedName>
    <definedName name="IQ_EQUITY_AFFIL">"c1451"</definedName>
    <definedName name="IQ_EQUITY_AP">"c8887"</definedName>
    <definedName name="IQ_EQUITY_AP_ABS">"c8906"</definedName>
    <definedName name="IQ_EQUITY_CAPITAL_ASSETS_FDIC">"c6744"</definedName>
    <definedName name="IQ_EQUITY_FDIC">"c6353"</definedName>
    <definedName name="IQ_EQUITY_METHOD">"c404"</definedName>
    <definedName name="IQ_EQUITY_NAME_AP">"c8925"</definedName>
    <definedName name="IQ_EQUITY_NAME_AP_ABS">"c8944"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">"c5630"</definedName>
    <definedName name="IQ_EST_ACT_BV_REUT">"c5409"</definedName>
    <definedName name="IQ_EST_ACT_BV_SHARE">"c3549"</definedName>
    <definedName name="IQ_EST_ACT_BV_SHARE_REUT">"c5445"</definedName>
    <definedName name="IQ_EST_ACT_CAPEX">"c3546"</definedName>
    <definedName name="IQ_EST_ACT_CAPEX_REUT">"c3975"</definedName>
    <definedName name="IQ_EST_ACT_CASH_EPS">"c5637"</definedName>
    <definedName name="IQ_EST_ACT_CASH_FLOW">"c4394"</definedName>
    <definedName name="IQ_EST_ACT_CASH_OPER">"c4395"</definedName>
    <definedName name="IQ_EST_ACT_CFPS">"c1673"</definedName>
    <definedName name="IQ_EST_ACT_CFPS_REUT">"c3850"</definedName>
    <definedName name="IQ_EST_ACT_DISTRIBUTABLE_CASH">"c4396"</definedName>
    <definedName name="IQ_EST_ACT_DISTRIBUTABLE_CASH_SHARE">"c4397"</definedName>
    <definedName name="IQ_EST_ACT_DPS">"c1680"</definedName>
    <definedName name="IQ_EST_ACT_DPS_REUT">"c3857"</definedName>
    <definedName name="IQ_EST_ACT_EBIT">"c1687"</definedName>
    <definedName name="IQ_EST_ACT_EBIT_GW">"c4398"</definedName>
    <definedName name="IQ_EST_ACT_EBIT_REUT">"c5339"</definedName>
    <definedName name="IQ_EST_ACT_EBIT_SBC">"c4399"</definedName>
    <definedName name="IQ_EST_ACT_EBIT_SBC_GW">"c4400"</definedName>
    <definedName name="IQ_EST_ACT_EBITDA">"c1664"</definedName>
    <definedName name="IQ_EST_ACT_EBITDA_REUT">"c3836"</definedName>
    <definedName name="IQ_EST_ACT_EBITDA_SBC">"c4401"</definedName>
    <definedName name="IQ_EST_ACT_EBT_SBC">"c4402"</definedName>
    <definedName name="IQ_EST_ACT_EBT_SBC_GW">"c4403"</definedName>
    <definedName name="IQ_EST_ACT_EPS">"c1648"</definedName>
    <definedName name="IQ_EST_ACT_EPS_GW">"c1743"</definedName>
    <definedName name="IQ_EST_ACT_EPS_GW_CIQ">"c4729"</definedName>
    <definedName name="IQ_EST_ACT_EPS_GW_REUT">"c5395"</definedName>
    <definedName name="IQ_EST_ACT_EPS_NORM">"c2232"</definedName>
    <definedName name="IQ_EST_ACT_EPS_NORM_CIQ">"c4673"</definedName>
    <definedName name="IQ_EST_ACT_EPS_NORM_REUT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>"c5402"</definedName>
    <definedName name="IQ_EST_ACT_EPS_REUT">"c5457"</definedName>
    <definedName name="IQ_EST_ACT_EPS_SBC">"c4404"</definedName>
    <definedName name="IQ_EST_ACT_EPS_SBC_GW">"c4405"</definedName>
    <definedName name="IQ_EST_ACT_FFO">"c1666"</definedName>
    <definedName name="IQ_EST_ACT_FFO_ADJ">"c4406"</definedName>
    <definedName name="IQ_EST_ACT_FFO_REUT">"c3843"</definedName>
    <definedName name="IQ_EST_ACT_FFO_SHARE">"c4407"</definedName>
    <definedName name="IQ_EST_ACT_GROSS_MARGIN">"c5553"</definedName>
    <definedName name="IQ_EST_ACT_MAINT_CAPEX">"c4408"</definedName>
    <definedName name="IQ_EST_ACT_NAV">"c1757"</definedName>
    <definedName name="IQ_EST_ACT_NAV_SHARE">"c5608"</definedName>
    <definedName name="IQ_EST_ACT_NAV_SHARE_REUT">"c5616"</definedName>
    <definedName name="IQ_EST_ACT_NET_DEBT">"c3545"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NI_SBC">"c4409"</definedName>
    <definedName name="IQ_EST_ACT_NI_SBC_GW">"c4410"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CURRING_PROFIT">"c4411"</definedName>
    <definedName name="IQ_EST_ACT_RECURRING_PROFIT_SHARE">"c4412"</definedName>
    <definedName name="IQ_EST_ACT_RETURN_ASSETS">"c3547"</definedName>
    <definedName name="IQ_EST_ACT_RETURN_ASSETS_REUT">"c3996"</definedName>
    <definedName name="IQ_EST_ACT_RETURN_EQUITY">"c3548"</definedName>
    <definedName name="IQ_EST_ACT_RETURN_EQUITY_REUT">"c3989"</definedName>
    <definedName name="IQ_EST_ACT_REV">"c2113"</definedName>
    <definedName name="IQ_EST_ACT_REV_REUT">"c3835"</definedName>
    <definedName name="IQ_EST_BV_DIFF_REUT">"c5433"</definedName>
    <definedName name="IQ_EST_BV_SHARE_DIFF">"c4147"</definedName>
    <definedName name="IQ_EST_BV_SHARE_SURPRISE_PERCENT">"c4148"</definedName>
    <definedName name="IQ_EST_BV_SURPRISE_PERCENT_REUT">"c5434"</definedName>
    <definedName name="IQ_EST_CAPEX_DIFF">"c4149"</definedName>
    <definedName name="IQ_EST_CAPEX_GROWTH_1YR">"c3588"</definedName>
    <definedName name="IQ_EST_CAPEX_GROWTH_1YR_REUT">"c5447"</definedName>
    <definedName name="IQ_EST_CAPEX_GROWTH_2YR">"c3589"</definedName>
    <definedName name="IQ_EST_CAPEX_GROWTH_2YR_REUT">"c5448"</definedName>
    <definedName name="IQ_EST_CAPEX_GROWTH_Q_1YR">"c3590"</definedName>
    <definedName name="IQ_EST_CAPEX_GROWTH_Q_1YR_REUT">"c5449"</definedName>
    <definedName name="IQ_EST_CAPEX_SEQ_GROWTH_Q">"c3591"</definedName>
    <definedName name="IQ_EST_CAPEX_SEQ_GROWTH_Q_REUT">"c5450"</definedName>
    <definedName name="IQ_EST_CAPEX_SURPRISE_PERCENT">"c4151"</definedName>
    <definedName name="IQ_EST_CASH_FLOW_DIFF">"c4152"</definedName>
    <definedName name="IQ_EST_CASH_FLOW_SURPRISE_PERCENT">"c4161"</definedName>
    <definedName name="IQ_EST_CASH_OPER_DIFF">"c4162"</definedName>
    <definedName name="IQ_EST_CASH_OPER_SURPRISE_PERCENT">"c4248"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CIQ">"c4769"</definedName>
    <definedName name="IQ_EST_CURRENCY_REUT">"c5437"</definedName>
    <definedName name="IQ_EST_DATE">"c1634"</definedName>
    <definedName name="IQ_EST_DATE_CIQ">"c4770"</definedName>
    <definedName name="IQ_EST_DATE_REUT">"c5438"</definedName>
    <definedName name="IQ_EST_DISTRIBUTABLE_CASH_DIFF">"c4276"</definedName>
    <definedName name="IQ_EST_DISTRIBUTABLE_CASH_GROWTH_1YR">"c4413"</definedName>
    <definedName name="IQ_EST_DISTRIBUTABLE_CASH_GROWTH_2YR">"c4414"</definedName>
    <definedName name="IQ_EST_DISTRIBUTABLE_CASH_GROWTH_Q_1YR">"c4415"</definedName>
    <definedName name="IQ_EST_DISTRIBUTABLE_CASH_SEQ_GROWTH_Q">"c4416"</definedName>
    <definedName name="IQ_EST_DISTRIBUTABLE_CASH_SHARE_DIFF">"c4284"</definedName>
    <definedName name="IQ_EST_DISTRIBUTABLE_CASH_SHARE_GROWTH_1YR">"c4417"</definedName>
    <definedName name="IQ_EST_DISTRIBUTABLE_CASH_SHARE_GROWTH_2YR">"c4418"</definedName>
    <definedName name="IQ_EST_DISTRIBUTABLE_CASH_SHARE_GROWTH_Q_1YR">"c4419"</definedName>
    <definedName name="IQ_EST_DISTRIBUTABLE_CASH_SHARE_SEQ_GROWTH_Q">"c4420"</definedName>
    <definedName name="IQ_EST_DISTRIBUTABLE_CASH_SHARE_SURPRISE_PERCENT">"c4293"</definedName>
    <definedName name="IQ_EST_DISTRIBUTABLE_CASH_SURPRISE_PERCENT">"c4295"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GW_DIFF">"c4304"</definedName>
    <definedName name="IQ_EST_EBIT_GW_SURPRISE_PERCENT">"c4313"</definedName>
    <definedName name="IQ_EST_EBIT_SBC_DIFF">"c4314"</definedName>
    <definedName name="IQ_EST_EBIT_SBC_GW_DIFF">"c4318"</definedName>
    <definedName name="IQ_EST_EBIT_SBC_GW_SURPRISE_PERCENT">"c4327"</definedName>
    <definedName name="IQ_EST_EBIT_SBC_SURPRISE_PERCENT">"c4333"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BC_DIFF">"c4335"</definedName>
    <definedName name="IQ_EST_EBITDA_SBC_SURPRISE_PERCENT">"c4344"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BT_SBC_DIFF">"c4348"</definedName>
    <definedName name="IQ_EST_EBT_SBC_GW_DIFF">"c4352"</definedName>
    <definedName name="IQ_EST_EBT_SBC_GW_SURPRISE_PERCENT">"c4361"</definedName>
    <definedName name="IQ_EST_EBT_SBC_SURPRISE_PERCENT">"c4367"</definedName>
    <definedName name="IQ_EST_EPS_DIFF">"c1864"</definedName>
    <definedName name="IQ_EST_EPS_DIFF_REUT">"c5458"</definedName>
    <definedName name="IQ_EST_EPS_GROWTH_1YR">"c1636"</definedName>
    <definedName name="IQ_EST_EPS_GROWTH_1YR_CIQ">"c3628"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">"c5487"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Q_1YR">"c1641"</definedName>
    <definedName name="IQ_EST_EPS_GROWTH_Q_1YR_CIQ">"c4744"</definedName>
    <definedName name="IQ_EST_EPS_GROWTH_Q_1YR_REUT">"c5410"</definedName>
    <definedName name="IQ_EST_EPS_GW_DIFF">"c1891"</definedName>
    <definedName name="IQ_EST_EPS_GW_DIFF_CIQ">"c4761"</definedName>
    <definedName name="IQ_EST_EPS_GW_DIFF_REUT">"c5429"</definedName>
    <definedName name="IQ_EST_EPS_GW_SURPRISE_PERCENT">"c1892"</definedName>
    <definedName name="IQ_EST_EPS_GW_SURPRISE_PERCENT_CIQ">"c4762"</definedName>
    <definedName name="IQ_EST_EPS_GW_SURPRISE_PERCENT_REUT">"c5430"</definedName>
    <definedName name="IQ_EST_EPS_NORM_DIFF">"c2247"</definedName>
    <definedName name="IQ_EST_EPS_NORM_DIFF_CIQ">"c4745"</definedName>
    <definedName name="IQ_EST_EPS_NORM_DIFF_REUT">"c5411"</definedName>
    <definedName name="IQ_EST_EPS_NORM_SURPRISE_PERCENT">"c2248"</definedName>
    <definedName name="IQ_EST_EPS_NORM_SURPRISE_PERCENT_CIQ">"c4746"</definedName>
    <definedName name="IQ_EST_EPS_NORM_SURPRISE_PERCENT_REUT">"c5412"</definedName>
    <definedName name="IQ_EST_EPS_REPORT_DIFF">"c1893"</definedName>
    <definedName name="IQ_EST_EPS_REPORT_DIFF_CIQ">"c4763"</definedName>
    <definedName name="IQ_EST_EPS_REPORT_DIFF_REUT">"c5431"</definedName>
    <definedName name="IQ_EST_EPS_REPORT_SURPRISE_PERCENT">"c1894"</definedName>
    <definedName name="IQ_EST_EPS_REPORT_SURPRISE_PERCENT_CIQ">"c4764"</definedName>
    <definedName name="IQ_EST_EPS_REPORT_SURPRISE_PERCENT_REUT">"c5432"</definedName>
    <definedName name="IQ_EST_EPS_SBC_DIFF">"c4374"</definedName>
    <definedName name="IQ_EST_EPS_SBC_GW_DIFF">"c4378"</definedName>
    <definedName name="IQ_EST_EPS_SBC_GW_SURPRISE_PERCENT">"c4387"</definedName>
    <definedName name="IQ_EST_EPS_SBC_SURPRISE_PERCENT">"c4393"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ADJ_DIFF">"c4433"</definedName>
    <definedName name="IQ_EST_FFO_ADJ_GROWTH_1YR">"c4421"</definedName>
    <definedName name="IQ_EST_FFO_ADJ_GROWTH_2YR">"c4422"</definedName>
    <definedName name="IQ_EST_FFO_ADJ_GROWTH_Q_1YR">"c4423"</definedName>
    <definedName name="IQ_EST_FFO_ADJ_SEQ_GROWTH_Q">"c4424"</definedName>
    <definedName name="IQ_EST_FFO_ADJ_SURPRISE_PERCENT">"c4442"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DIFF">"c4444"</definedName>
    <definedName name="IQ_EST_FFO_SHARE_GROWTH_1YR">"c4425"</definedName>
    <definedName name="IQ_EST_FFO_SHARE_GROWTH_2YR">"c4426"</definedName>
    <definedName name="IQ_EST_FFO_SHARE_GROWTH_Q_1YR">"c4427"</definedName>
    <definedName name="IQ_EST_FFO_SHARE_SEQ_GROWTH_Q">"c4428"</definedName>
    <definedName name="IQ_EST_FFO_SHARE_SURPRISE_PERCENT">"c4453"</definedName>
    <definedName name="IQ_EST_FFO_SURPRISE_PERCENT">"c1870"</definedName>
    <definedName name="IQ_EST_FFO_SURPRISE_PERCENT_REUT">"c3891"</definedName>
    <definedName name="IQ_EST_FOOTNOTE">"c4540"</definedName>
    <definedName name="IQ_EST_FOOTNOTE_CIQ">"c12022"</definedName>
    <definedName name="IQ_EST_FOOTNOTE_REUT">"c5478"</definedName>
    <definedName name="IQ_EST_MAINT_CAPEX_DIFF">"c4456"</definedName>
    <definedName name="IQ_EST_MAINT_CAPEX_GROWTH_1YR">"c4429"</definedName>
    <definedName name="IQ_EST_MAINT_CAPEX_GROWTH_2YR">"c4430"</definedName>
    <definedName name="IQ_EST_MAINT_CAPEX_GROWTH_Q_1YR">"c4431"</definedName>
    <definedName name="IQ_EST_MAINT_CAPEX_SEQ_GROWTH_Q">"c4432"</definedName>
    <definedName name="IQ_EST_MAINT_CAPEX_SURPRISE_PERCENT">"c4465"</definedName>
    <definedName name="IQ_EST_NAV_DIFF">"c1895"</definedName>
    <definedName name="IQ_EST_NAV_SHARE_SURPRISE_PERCENT">"c1896"</definedName>
    <definedName name="IQ_EST_NAV_SURPRISE_PERCENT">"c1896"</definedName>
    <definedName name="IQ_EST_NET_DEBT_DIFF">"c4466"</definedName>
    <definedName name="IQ_EST_NET_DEBT_SURPRISE_PERCENT">"c4468"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>"c4472"</definedName>
    <definedName name="IQ_EST_NI_SBC_GW_DIFF">"c4476"</definedName>
    <definedName name="IQ_EST_NI_SBC_GW_SURPRISE_PERCENT">"c4485"</definedName>
    <definedName name="IQ_EST_NI_SBC_SURPRISE_PERCENT">"c4491"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HIGH_REC">"c5649"</definedName>
    <definedName name="IQ_EST_NUM_HIGH_REC_REUT">"c3870"</definedName>
    <definedName name="IQ_EST_NUM_HIGHEST_REC">"c5648"</definedName>
    <definedName name="IQ_EST_NUM_HIGHEST_REC_REUT">"c3869"</definedName>
    <definedName name="IQ_EST_NUM_HOLD">"c1761"</definedName>
    <definedName name="IQ_EST_NUM_HOLD_REUT">"c3871"</definedName>
    <definedName name="IQ_EST_NUM_LOW_REC">"c5651"</definedName>
    <definedName name="IQ_EST_NUM_LOW_REC_REUT">"c3872"</definedName>
    <definedName name="IQ_EST_NUM_LOWEST_REC">"c5652"</definedName>
    <definedName name="IQ_EST_NUM_LOWEST_REC_REUT">"c3873"</definedName>
    <definedName name="IQ_EST_NUM_NEUTRAL_REC">"c5650"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SELL">"c1763"</definedName>
    <definedName name="IQ_EST_NUM_SELL_REUT">"c3873"</definedName>
    <definedName name="IQ_EST_NUM_UNDERPERFORM">"c1762"</definedName>
    <definedName name="IQ_EST_NUM_UNDERPERFORM_REUT">"c3872"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CURRING_PROFIT_SHARE_DIFF">"c4505"</definedName>
    <definedName name="IQ_EST_RECURRING_PROFIT_SHARE_SURPRISE_PERCENT">"c4515"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_VENDOR">"c5564"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CISE_TAXES_EXCL_SALES">"c5515"</definedName>
    <definedName name="IQ_EXCISE_TAXES_INCL_SALES">"c5514"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S_AP">"c8875"</definedName>
    <definedName name="IQ_EXPENSES_AP_ABS">"c8894"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>"c8401"</definedName>
    <definedName name="IQ_EXPORTS_APR_UNUSED">"c7521"</definedName>
    <definedName name="IQ_EXPORTS_APR_UNUSED_UNUSED_UNUSED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>"c8512"</definedName>
    <definedName name="IQ_EXPORTS_GOODS_REAL_SAAR_APR_UNUSED">"c7632"</definedName>
    <definedName name="IQ_EXPORTS_GOODS_REAL_SAAR_APR_UNUSED_UNUSED_UNUSED">"c7632"</definedName>
    <definedName name="IQ_EXPORTS_GOODS_REAL_SAAR_FC_UNUSED">"c7852"</definedName>
    <definedName name="IQ_EXPORTS_GOODS_REAL_SAAR_FC_UNUSED_UNUSED_UNUSED">"c7852"</definedName>
    <definedName name="IQ_EXPORTS_GOODS_REAL_SAAR_POP">"c11931"</definedName>
    <definedName name="IQ_EXPORTS_GOODS_REAL_SAAR_POP_FC_UNUSED">"c8072"</definedName>
    <definedName name="IQ_EXPORTS_GOODS_REAL_SAAR_POP_FC_UNUSED_UNUSED_UNUSED">"c8072"</definedName>
    <definedName name="IQ_EXPORTS_GOODS_REAL_SAAR_POP_UNUSED">"c7192"</definedName>
    <definedName name="IQ_EXPORTS_GOODS_REAL_SAAR_POP_UNUSED_UNUSED_UNUSED">"c7192"</definedName>
    <definedName name="IQ_EXPORTS_GOODS_REAL_SAAR_UNUSED">"c6972"</definedName>
    <definedName name="IQ_EXPORTS_GOODS_REAL_SAAR_UNUSED_UNUSED_UNUSED">"c6972"</definedName>
    <definedName name="IQ_EXPORTS_GOODS_REAL_SAAR_YOY">"c11932"</definedName>
    <definedName name="IQ_EXPORTS_GOODS_REAL_SAAR_YOY_FC_UNUSED">"c8292"</definedName>
    <definedName name="IQ_EXPORTS_GOODS_REAL_SAAR_YOY_FC_UNUSED_UNUSED_UNUSED">"c8292"</definedName>
    <definedName name="IQ_EXPORTS_GOODS_REAL_SAAR_YOY_UNUSED">"c7412"</definedName>
    <definedName name="IQ_EXPORTS_GOODS_REAL_SAAR_YOY_UNUSED_UNUSED_UNUSED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>"c7961"</definedName>
    <definedName name="IQ_EXPORTS_POP_UNUSED">"c7081"</definedName>
    <definedName name="IQ_EXPORTS_POP_UNUSED_UNUSED_UNUSED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>"c8516"</definedName>
    <definedName name="IQ_EXPORTS_SERVICES_REAL_SAAR_APR_UNUSED">"c7636"</definedName>
    <definedName name="IQ_EXPORTS_SERVICES_REAL_SAAR_APR_UNUSED_UNUSED_UNUSED">"c7636"</definedName>
    <definedName name="IQ_EXPORTS_SERVICES_REAL_SAAR_FC_UNUSED">"c7856"</definedName>
    <definedName name="IQ_EXPORTS_SERVICES_REAL_SAAR_FC_UNUSED_UNUSED_UNUSED">"c7856"</definedName>
    <definedName name="IQ_EXPORTS_SERVICES_REAL_SAAR_POP">"c11935"</definedName>
    <definedName name="IQ_EXPORTS_SERVICES_REAL_SAAR_POP_FC_UNUSED">"c8076"</definedName>
    <definedName name="IQ_EXPORTS_SERVICES_REAL_SAAR_POP_FC_UNUSED_UNUSED_UNUSED">"c8076"</definedName>
    <definedName name="IQ_EXPORTS_SERVICES_REAL_SAAR_POP_UNUSED">"c7196"</definedName>
    <definedName name="IQ_EXPORTS_SERVICES_REAL_SAAR_POP_UNUSED_UNUSED_UNUSED">"c7196"</definedName>
    <definedName name="IQ_EXPORTS_SERVICES_REAL_SAAR_UNUSED">"c6976"</definedName>
    <definedName name="IQ_EXPORTS_SERVICES_REAL_SAAR_UNUSED_UNUSED_UNUSED">"c6976"</definedName>
    <definedName name="IQ_EXPORTS_SERVICES_REAL_SAAR_YOY">"c11936"</definedName>
    <definedName name="IQ_EXPORTS_SERVICES_REAL_SAAR_YOY_FC_UNUSED">"c8296"</definedName>
    <definedName name="IQ_EXPORTS_SERVICES_REAL_SAAR_YOY_FC_UNUSED_UNUSED_UNUSED">"c8296"</definedName>
    <definedName name="IQ_EXPORTS_SERVICES_REAL_SAAR_YOY_UNUSED">"c7416"</definedName>
    <definedName name="IQ_EXPORTS_SERVICES_REAL_SAAR_YOY_UNUSED_UNUSED_UNUSED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>"c8181"</definedName>
    <definedName name="IQ_EXPORTS_YOY_UNUSED">"c7301"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D">"c8757"</definedName>
    <definedName name="IQ_FAD_PAYOUT_RATIO">"c8872"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ACT_OR_EST">"c2216"</definedName>
    <definedName name="IQ_FFO_ADJ_ACT_OR_EST">"c4435"</definedName>
    <definedName name="IQ_FFO_ADJ_ACT_OR_EST_CIQ">"c4960"</definedName>
    <definedName name="IQ_FFO_ADJ_EST">"c4434"</definedName>
    <definedName name="IQ_FFO_ADJ_GUIDANCE">"c4436"</definedName>
    <definedName name="IQ_FFO_ADJ_HIGH_EST">"c4437"</definedName>
    <definedName name="IQ_FFO_ADJ_HIGH_GUIDANCE">"c4202"</definedName>
    <definedName name="IQ_FFO_ADJ_LOW_EST">"c4438"</definedName>
    <definedName name="IQ_FFO_ADJ_LOW_GUIDANCE">"c4242"</definedName>
    <definedName name="IQ_FFO_ADJ_MEDIAN_EST">"c4439"</definedName>
    <definedName name="IQ_FFO_ADJ_NUM_EST">"c4440"</definedName>
    <definedName name="IQ_FFO_ADJ_STDDEV_EST">"c4441"</definedName>
    <definedName name="IQ_FFO_EST">"c418"</definedName>
    <definedName name="IQ_FFO_EST_REUT">"c3837"</definedName>
    <definedName name="IQ_FFO_GUIDANCE">"c4443"</definedName>
    <definedName name="IQ_FFO_HIGH_EST">"c419"</definedName>
    <definedName name="IQ_FFO_HIGH_EST_REUT">"c3839"</definedName>
    <definedName name="IQ_FFO_HIGH_GUIDANCE">"c4184"</definedName>
    <definedName name="IQ_FFO_LOW_EST">"c420"</definedName>
    <definedName name="IQ_FFO_LOW_EST_REUT">"c3840"</definedName>
    <definedName name="IQ_FFO_LOW_GUIDANCE">"c4224"</definedName>
    <definedName name="IQ_FFO_MEDIAN_EST">"c1665"</definedName>
    <definedName name="IQ_FFO_MEDIAN_EST_REUT">"c3838"</definedName>
    <definedName name="IQ_FFO_NUM_EST">"c421"</definedName>
    <definedName name="IQ_FFO_NUM_EST_REUT">"c3841"</definedName>
    <definedName name="IQ_FFO_PAYOUT_RATIO">"c3492"</definedName>
    <definedName name="IQ_FFO_PER_SHARE_BASIC">"c8867"</definedName>
    <definedName name="IQ_FFO_PER_SHARE_DILUTED">"c8868"</definedName>
    <definedName name="IQ_FFO_SHARE_ACT_OR_EST">"c4446"</definedName>
    <definedName name="IQ_FFO_SHARE_ACT_OR_EST_CIQ">"c4971"</definedName>
    <definedName name="IQ_FFO_SHARE_EST">"c4445"</definedName>
    <definedName name="IQ_FFO_SHARE_GUIDANCE">"c4447"</definedName>
    <definedName name="IQ_FFO_SHARE_HIGH_EST">"c4448"</definedName>
    <definedName name="IQ_FFO_SHARE_HIGH_GUIDANCE">"c4203"</definedName>
    <definedName name="IQ_FFO_SHARE_LOW_EST">"c4449"</definedName>
    <definedName name="IQ_FFO_SHARE_LOW_GUIDANCE">"c4243"</definedName>
    <definedName name="IQ_FFO_SHARE_MEDIAN_EST">"c4450"</definedName>
    <definedName name="IQ_FFO_SHARE_NUM_EST">"c4451"</definedName>
    <definedName name="IQ_FFO_SHARE_STDDEV_EST">"c4452"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DEBT_TOTAL">"c5656"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>"c5522"</definedName>
    <definedName name="IQ_FIN_DIV_REV">"c437"</definedName>
    <definedName name="IQ_FIN_DIV_ST_DEBT_TOTAL">"c5527"</definedName>
    <definedName name="IQ_FIN_DIV_ST_INVEST">"c6288"</definedName>
    <definedName name="IQ_FINANCING_CASH">"c1405"</definedName>
    <definedName name="IQ_FINANCING_CASH_SUPPL">"c1406"</definedName>
    <definedName name="IQ_FINANCING_OBLIG_CURRENT">"c6190"</definedName>
    <definedName name="IQ_FINANCING_OBLIG_NON_CURRENT">"c6191"</definedName>
    <definedName name="IQ_FINISHED_INV">"c438"</definedName>
    <definedName name="IQ_FIRST_INT_DATE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>"c6798"</definedName>
    <definedName name="IQ_FISCAL_Y">"c441"</definedName>
    <definedName name="IQ_FISCAL_Y_EST">"c6795"</definedName>
    <definedName name="IQ_FISCAL_Y_EST_CIQ">"c6807"</definedName>
    <definedName name="IQ_FISCAL_Y_EST_REUT">"c6799"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PERCENT">"c443"</definedName>
    <definedName name="IQ_FIVEPERCENT_SHARES">"c444"</definedName>
    <definedName name="IQ_FIX_FREQUENCY">"c8964"</definedName>
    <definedName name="IQ_FIXED_ASSET_TURNS">"c445"</definedName>
    <definedName name="IQ_FIXED_INVEST_APR_FC_UNUSED">"c8410"</definedName>
    <definedName name="IQ_FIXED_INVEST_APR_FC_UNUSED_UNUSED_UNUSED">"c8410"</definedName>
    <definedName name="IQ_FIXED_INVEST_APR_UNUSED">"c7530"</definedName>
    <definedName name="IQ_FIXED_INVEST_APR_UNUSED_UNUSED_UNUSED">"c7530"</definedName>
    <definedName name="IQ_FIXED_INVEST_FC_UNUSED">"c7750"</definedName>
    <definedName name="IQ_FIXED_INVEST_FC_UNUSED_UNUSED_UNUSED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>"c7970"</definedName>
    <definedName name="IQ_FIXED_INVEST_POP_UNUSED">"c7090"</definedName>
    <definedName name="IQ_FIXED_INVEST_POP_UNUSED_UNUSED_UNUSED">"c7090"</definedName>
    <definedName name="IQ_FIXED_INVEST_REAL_APR_FC_UNUSED">"c8518"</definedName>
    <definedName name="IQ_FIXED_INVEST_REAL_APR_FC_UNUSED_UNUSED_UNUSED">"c8518"</definedName>
    <definedName name="IQ_FIXED_INVEST_REAL_APR_UNUSED">"c7638"</definedName>
    <definedName name="IQ_FIXED_INVEST_REAL_APR_UNUSED_UNUSED_UNUSED">"c7638"</definedName>
    <definedName name="IQ_FIXED_INVEST_REAL_FC_UNUSED">"c7858"</definedName>
    <definedName name="IQ_FIXED_INVEST_REAL_FC_UNUSED_UNUSED_UNUSED">"c7858"</definedName>
    <definedName name="IQ_FIXED_INVEST_REAL_POP_FC_UNUSED">"c8078"</definedName>
    <definedName name="IQ_FIXED_INVEST_REAL_POP_FC_UNUSED_UNUSED_UNUSED">"c8078"</definedName>
    <definedName name="IQ_FIXED_INVEST_REAL_POP_UNUSED">"c7198"</definedName>
    <definedName name="IQ_FIXED_INVEST_REAL_POP_UNUSED_UNUSED_UNUSED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>"c8298"</definedName>
    <definedName name="IQ_FIXED_INVEST_REAL_YOY_UNUSED">"c7418"</definedName>
    <definedName name="IQ_FIXED_INVEST_REAL_YOY_UNUSED_UNUSED_UNUSED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>"c8190"</definedName>
    <definedName name="IQ_FIXED_INVEST_YOY_UNUSED">"c7310"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GA_EXP">"c2241"</definedName>
    <definedName name="IQ_GAAP_BS">"c6789"</definedName>
    <definedName name="IQ_GAAP_CF">"c6790"</definedName>
    <definedName name="IQ_GAAP_IS">"c6194"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H_EARNED">"c2742"</definedName>
    <definedName name="IQ_GROSS_CLAIM_EXP_INCUR">"c2755"</definedName>
    <definedName name="IQ_GROSS_CLAIM_EXP_PAID">"c2758"</definedName>
    <definedName name="IQ_GROSS_CLAIM_EXP_RES">"c2752"</definedName>
    <definedName name="IQ_GROSS_DIVID">"c1446"</definedName>
    <definedName name="IQ_GROSS_EARNED">"c2732"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MARGIN">"c529"</definedName>
    <definedName name="IQ_GROSS_MARGIN_ACT_OR_EST">"c5554"</definedName>
    <definedName name="IQ_GROSS_MARGIN_EST">"c5547"</definedName>
    <definedName name="IQ_GROSS_MARGIN_HIGH_EST">"c5549"</definedName>
    <definedName name="IQ_GROSS_MARGIN_LOW_EST">"c5550"</definedName>
    <definedName name="IQ_GROSS_MARGIN_MEDIAN_EST">"c5548"</definedName>
    <definedName name="IQ_GROSS_MARGIN_NUM_EST">"c5551"</definedName>
    <definedName name="IQ_GROSS_MARGIN_STDDEV_EST">"c5552"</definedName>
    <definedName name="IQ_GROSS_PC_EARNED">"c2747"</definedName>
    <definedName name="IQ_GROSS_PROFIT">"c1378"</definedName>
    <definedName name="IQ_GROSS_SPRD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EXP_CASINO">"c8733"</definedName>
    <definedName name="IQ_HG_EXP_DEVELOPMENT">"c8738"</definedName>
    <definedName name="IQ_HG_EXP_ENTERTAINMENT">"c8736"</definedName>
    <definedName name="IQ_HG_EXP_FOOD_BEV">"c8734"</definedName>
    <definedName name="IQ_HG_EXP_FRANCHISE_MANAGEMENT">"c8744"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INCENTIVE_MANAGEMENT_FEES">"c8727"</definedName>
    <definedName name="IQ_HG_REV_MANAGEMENT_FEES">"c8718"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THEATRE_CONCESSION">"c8720"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PROM_COSTS">"c8745"</definedName>
    <definedName name="IQ_HG_ROOMS_BEG">"c8600"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"c8643"</definedName>
    <definedName name="IQ_HG_TABLE_GAMES_MANAGED">"c8644"</definedName>
    <definedName name="IQ_HG_TABLE_GAMES_OWNED">"c8642"</definedName>
    <definedName name="IQ_HG_TABLE_GAM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TARGET_PRICE">"c1651"</definedName>
    <definedName name="IQ_HIGH_TARGET_PRICE_CIQ">"c4659"</definedName>
    <definedName name="IQ_HIGH_TARGET_PRICE_REUT">"c5317"</definedName>
    <definedName name="IQ_HIGHPRICE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>"c546"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>"c8422"</definedName>
    <definedName name="IQ_HOUSING_COMPLETIONS_SINGLE_FAM_APR_UNUSED">"c7542"</definedName>
    <definedName name="IQ_HOUSING_COMPLETIONS_SINGLE_FAM_APR_UNUSED_UNUSED_UNUSED">"c7542"</definedName>
    <definedName name="IQ_HOUSING_COMPLETIONS_SINGLE_FAM_FC_UNUSED">"c7762"</definedName>
    <definedName name="IQ_HOUSING_COMPLETIONS_SINGLE_FAM_FC_UNUSED_UNUSED_UNUSED">"c7762"</definedName>
    <definedName name="IQ_HOUSING_COMPLETIONS_SINGLE_FAM_POP_FC_UNUSED">"c7982"</definedName>
    <definedName name="IQ_HOUSING_COMPLETIONS_SINGLE_FAM_POP_FC_UNUSED_UNUSED_UNUSED">"c7982"</definedName>
    <definedName name="IQ_HOUSING_COMPLETIONS_SINGLE_FAM_POP_UNUSED">"c7102"</definedName>
    <definedName name="IQ_HOUSING_COMPLETIONS_SINGLE_FAM_POP_UNUSED_UNUSED_UNUSED">"c7102"</definedName>
    <definedName name="IQ_HOUSING_COMPLETIONS_SINGLE_FAM_UNUSED">"c6882"</definedName>
    <definedName name="IQ_HOUSING_COMPLETIONS_SINGLE_FAM_UNUSED_UNUSED_UNUSED">"c6882"</definedName>
    <definedName name="IQ_HOUSING_COMPLETIONS_SINGLE_FAM_YOY_FC_UNUSED">"c8202"</definedName>
    <definedName name="IQ_HOUSING_COMPLETIONS_SINGLE_FAM_YOY_FC_UNUSED_UNUSED_UNUSED">"c8202"</definedName>
    <definedName name="IQ_HOUSING_COMPLETIONS_SINGLE_FAM_YOY_UNUSED">"c7322"</definedName>
    <definedName name="IQ_HOUSING_COMPLETIONS_SINGLE_FAM_YOY_UNUSED_UNUSED_UNUSED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IR_OIL">"c547"</definedName>
    <definedName name="IQ_IMPAIRMENT_GW">"c548"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>"c8523"</definedName>
    <definedName name="IQ_IMPORTS_GOODS_REAL_SAAR_APR_UNUSED">"c7643"</definedName>
    <definedName name="IQ_IMPORTS_GOODS_REAL_SAAR_APR_UNUSED_UNUSED_UNUSED">"c7643"</definedName>
    <definedName name="IQ_IMPORTS_GOODS_REAL_SAAR_FC_UNUSED">"c7863"</definedName>
    <definedName name="IQ_IMPORTS_GOODS_REAL_SAAR_FC_UNUSED_UNUSED_UNUSED">"c7863"</definedName>
    <definedName name="IQ_IMPORTS_GOODS_REAL_SAAR_POP_FC_UNUSED">"c8083"</definedName>
    <definedName name="IQ_IMPORTS_GOODS_REAL_SAAR_POP_FC_UNUSED_UNUSED_UNUSED">"c8083"</definedName>
    <definedName name="IQ_IMPORTS_GOODS_REAL_SAAR_POP_UNUSED">"c7203"</definedName>
    <definedName name="IQ_IMPORTS_GOODS_REAL_SAAR_POP_UNUSED_UNUSED_UNUSED">"c7203"</definedName>
    <definedName name="IQ_IMPORTS_GOODS_REAL_SAAR_UNUSED">"c6983"</definedName>
    <definedName name="IQ_IMPORTS_GOODS_REAL_SAAR_UNUSED_UNUSED_UNUSED">"c6983"</definedName>
    <definedName name="IQ_IMPORTS_GOODS_REAL_SAAR_YOY_FC_UNUSED">"c8303"</definedName>
    <definedName name="IQ_IMPORTS_GOODS_REAL_SAAR_YOY_FC_UNUSED_UNUSED_UNUSED">"c8303"</definedName>
    <definedName name="IQ_IMPORTS_GOODS_REAL_SAAR_YOY_UNUSED">"c7423"</definedName>
    <definedName name="IQ_IMPORTS_GOODS_REAL_SAAR_YOY_UNUSED_UNUSED_UNUSED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>"c8429"</definedName>
    <definedName name="IQ_IMPORTS_GOODS_SERVICES_APR_UNUSED">"c7549"</definedName>
    <definedName name="IQ_IMPORTS_GOODS_SERVICES_APR_UNUSED_UNUSED_UNUSED">"c7549"</definedName>
    <definedName name="IQ_IMPORTS_GOODS_SERVICES_FC_UNUSED">"c7769"</definedName>
    <definedName name="IQ_IMPORTS_GOODS_SERVICES_FC_UNUSED_UNUSED_UNUSED">"c7769"</definedName>
    <definedName name="IQ_IMPORTS_GOODS_SERVICES_POP_FC_UNUSED">"c7989"</definedName>
    <definedName name="IQ_IMPORTS_GOODS_SERVICES_POP_FC_UNUSED_UNUSED_UNUSED">"c7989"</definedName>
    <definedName name="IQ_IMPORTS_GOODS_SERVICES_POP_UNUSED">"c7109"</definedName>
    <definedName name="IQ_IMPORTS_GOODS_SERVICES_POP_UNUSED_UNUSED_UNUSED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>"c8524"</definedName>
    <definedName name="IQ_IMPORTS_GOODS_SERVICES_REAL_SAAR_APR_UNUSED">"c7644"</definedName>
    <definedName name="IQ_IMPORTS_GOODS_SERVICES_REAL_SAAR_APR_UNUSED_UNUSED_UNUSED">"c7644"</definedName>
    <definedName name="IQ_IMPORTS_GOODS_SERVICES_REAL_SAAR_FC_UNUSED">"c7864"</definedName>
    <definedName name="IQ_IMPORTS_GOODS_SERVICES_REAL_SAAR_FC_UNUSED_UNUSED_UNUSED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>"c8084"</definedName>
    <definedName name="IQ_IMPORTS_GOODS_SERVICES_REAL_SAAR_POP_UNUSED">"c7204"</definedName>
    <definedName name="IQ_IMPORTS_GOODS_SERVICES_REAL_SAAR_POP_UNUSED_UNUSED_UNUSED">"c7204"</definedName>
    <definedName name="IQ_IMPORTS_GOODS_SERVICES_REAL_SAAR_UNUSED">"c6984"</definedName>
    <definedName name="IQ_IMPORTS_GOODS_SERVICES_REAL_SAAR_UNUSED_UNUSED_UNUSED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>"c8304"</definedName>
    <definedName name="IQ_IMPORTS_GOODS_SERVICES_REAL_SAAR_YOY_UNUSED">"c7424"</definedName>
    <definedName name="IQ_IMPORTS_GOODS_SERVICES_REAL_SAAR_YOY_UNUSED_UNUSED_UNUSED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>"c8209"</definedName>
    <definedName name="IQ_IMPORTS_GOODS_SERVICES_YOY_UNUSED">"c7329"</definedName>
    <definedName name="IQ_IMPORTS_GOODS_SERVICES_YOY_UNUSED_UNUSED_UNUSED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_DEPOSITS">"c89"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EARING_DEPOSITS">"c1166"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">"c6225"</definedName>
    <definedName name="IQ_INT_INC_REIT">"c597"</definedName>
    <definedName name="IQ_INT_INC_SECURITIES_FDIC">"c6559"</definedName>
    <definedName name="IQ_INT_INC_TOTAL">"c598"</definedName>
    <definedName name="IQ_INT_INC_TOTAL_BNK_SUBTOTAL_AP">"c8976"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MENT_BANKING_OTHER_FEES_FDIC">"c6666"</definedName>
    <definedName name="IQ_IPRD">"c644"</definedName>
    <definedName name="IQ_IRA_KEOGH_ACCOUNTS_FDIC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>"c8443"</definedName>
    <definedName name="IQ_ISM_SERVICES_APR_UNUSED">"c7563"</definedName>
    <definedName name="IQ_ISM_SERVICES_APR_UNUSED_UNUSED_UNUSED">"c7563"</definedName>
    <definedName name="IQ_ISM_SERVICES_FC_UNUSED">"c7783"</definedName>
    <definedName name="IQ_ISM_SERVICES_FC_UNUSED_UNUSED_UNUSED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>"c8003"</definedName>
    <definedName name="IQ_ISM_SERVICES_POP_UNUSED">"c7123"</definedName>
    <definedName name="IQ_ISM_SERVICES_POP_UNUSED_UNUSED_UNUSED">"c7123"</definedName>
    <definedName name="IQ_ISM_SERVICES_UNUSED">"c6903"</definedName>
    <definedName name="IQ_ISM_SERVICES_UNUSED_UNUSED_UNUSED">"c6903"</definedName>
    <definedName name="IQ_ISM_SERVICES_YOY_FC_UNUSED">"c8223"</definedName>
    <definedName name="IQ_ISM_SERVICES_YOY_FC_UNUSED_UNUSED_UNUSED">"c8223"</definedName>
    <definedName name="IQ_ISM_SERVICES_YOY_UNUSED">"c7343"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LAND">"c645"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PMT_DATE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_MONTHLY_FACTOR">"c8971"</definedName>
    <definedName name="IQ_LATEST_MONTHLY_FACTOR_DATE">"c8972"</definedName>
    <definedName name="IQ_LATESTK">1000</definedName>
    <definedName name="IQ_LATESTQ">500</definedName>
    <definedName name="IQ_LEAD_UNDERWRITER">"c8957"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CENSED_POPS">"c2123"</definedName>
    <definedName name="IQ_LIFE_EARNED">"c2739"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SS_TO_NET_EARNED">"c2751"</definedName>
    <definedName name="IQ_LOW_TARGET_PRICE">"c1652"</definedName>
    <definedName name="IQ_LOW_TARGET_PRICE_CIQ">"c4660"</definedName>
    <definedName name="IQ_LOW_TARGET_PRICE_REUT">"c5318"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INT_CAPEX">"c2947"</definedName>
    <definedName name="IQ_MAINT_CAPEX_ACT_OR_EST">"c4458"</definedName>
    <definedName name="IQ_MAINT_CAPEX_ACT_OR_EST_CIQ">"c4987"</definedName>
    <definedName name="IQ_MAINT_CAPEX_EST">"c4457"</definedName>
    <definedName name="IQ_MAINT_CAPEX_GUIDANCE">"c4459"</definedName>
    <definedName name="IQ_MAINT_CAPEX_HIGH_EST">"c4460"</definedName>
    <definedName name="IQ_MAINT_CAPEX_HIGH_GUIDANCE">"c4197"</definedName>
    <definedName name="IQ_MAINT_CAPEX_LOW_EST">"c4461"</definedName>
    <definedName name="IQ_MAINT_CAPEX_LOW_GUIDANCE">"c4237"</definedName>
    <definedName name="IQ_MAINT_CAPEX_MEDIAN_EST">"c4462"</definedName>
    <definedName name="IQ_MAINT_CAPEX_NUM_EST">"c4463"</definedName>
    <definedName name="IQ_MAINT_CAPEX_STDDEV_EST">"c4464"</definedName>
    <definedName name="IQ_MAINT_REPAIR">"c2087"</definedName>
    <definedName name="IQ_MAKE_WHOLE_END_DATE">"c2493"</definedName>
    <definedName name="IQ_MAKE_WHOLE_SPREAD">"c2494"</definedName>
    <definedName name="IQ_MAKE_WHOLE_START_DATE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ATURITY_ONE_YEAR_LESS_FDIC">"c6425"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DAYS_CLAIMS_PAYABLE">"c9937"</definedName>
    <definedName name="IQ_MC_DAYS_CLAIMS_PAYABLE_EXCL_CAPITATION">"c9938"</definedName>
    <definedName name="IQ_MC_MEDICAL_COSTS_PMPM">"c9925"</definedName>
    <definedName name="IQ_MC_PARENT_CASH">"c9942"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PMPM">"c9926"</definedName>
    <definedName name="IQ_MC_STATUTORY_SURPLUS">"c2772"</definedName>
    <definedName name="IQ_MC_TOTAL_COVERED_LIVES">"c9919"</definedName>
    <definedName name="IQ_MC_TOTAL_MEMBERSHIP">"c9922"</definedName>
    <definedName name="IQ_MC_TOTAL_MEMBERSHIP_CAPITATION">"c9923"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>"c8460"</definedName>
    <definedName name="IQ_MEDIAN_NEW_HOME_SALES_APR_UNUSED">"c7580"</definedName>
    <definedName name="IQ_MEDIAN_NEW_HOME_SALES_APR_UNUSED_UNUSED_UNUSED">"c7580"</definedName>
    <definedName name="IQ_MEDIAN_NEW_HOME_SALES_FC_UNUSED">"c7800"</definedName>
    <definedName name="IQ_MEDIAN_NEW_HOME_SALES_FC_UNUSED_UNUSED_UNUSED">"c7800"</definedName>
    <definedName name="IQ_MEDIAN_NEW_HOME_SALES_POP_FC_UNUSED">"c8020"</definedName>
    <definedName name="IQ_MEDIAN_NEW_HOME_SALES_POP_FC_UNUSED_UNUSED_UNUSED">"c8020"</definedName>
    <definedName name="IQ_MEDIAN_NEW_HOME_SALES_POP_UNUSED">"c7140"</definedName>
    <definedName name="IQ_MEDIAN_NEW_HOME_SALES_POP_UNUSED_UNUSED_UNUSED">"c7140"</definedName>
    <definedName name="IQ_MEDIAN_NEW_HOME_SALES_UNUSED">"c6920"</definedName>
    <definedName name="IQ_MEDIAN_NEW_HOME_SALES_UNUSED_UNUSED_UNUSED">"c6920"</definedName>
    <definedName name="IQ_MEDIAN_NEW_HOME_SALES_YOY_FC_UNUSED">"c8240"</definedName>
    <definedName name="IQ_MEDIAN_NEW_HOME_SALES_YOY_FC_UNUSED_UNUSED_UNUSED">"c8240"</definedName>
    <definedName name="IQ_MEDIAN_NEW_HOME_SALES_YOY_UNUSED">"c7360"</definedName>
    <definedName name="IQ_MEDIAN_NEW_HOME_SALES_YOY_UNUSED_UNUSED_UNUSED">"c7360"</definedName>
    <definedName name="IQ_MEDIAN_TARGET_PRICE">"c1650"</definedName>
    <definedName name="IQ_MEDIAN_TARGET_PRICE_CIQ">"c4658"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>"c4048"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ULTIFAMILY_RESIDENTIAL_LOANS_FDIC">"c6311"</definedName>
    <definedName name="IQ_NAMES_REVISION_DATE_">40141.7235069444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">"c2225"</definedName>
    <definedName name="IQ_NAV_SHARE_ACT_OR_EST_REUT">"c5623"</definedName>
    <definedName name="IQ_NAV_SHARE_EST">"c5609"</definedName>
    <definedName name="IQ_NAV_SHARE_EST_REUT">"c5617"</definedName>
    <definedName name="IQ_NAV_SHARE_HIGH_EST">"c5612"</definedName>
    <definedName name="IQ_NAV_SHARE_HIGH_EST_REUT">"c5620"</definedName>
    <definedName name="IQ_NAV_SHARE_LOW_EST">"c5613"</definedName>
    <definedName name="IQ_NAV_SHARE_LOW_EST_REUT">"c5621"</definedName>
    <definedName name="IQ_NAV_SHARE_MEDIAN_EST">"c5610"</definedName>
    <definedName name="IQ_NAV_SHARE_MEDIAN_EST_REUT">"c5618"</definedName>
    <definedName name="IQ_NAV_SHARE_NUM_EST">"c5614"</definedName>
    <definedName name="IQ_NAV_SHARE_NUM_EST_REUT">"c5622"</definedName>
    <definedName name="IQ_NAV_SHARE_STDDEV_EST">"c5611"</definedName>
    <definedName name="IQ_NAV_SHARE_STDDEV_EST_REUT">"c5619"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>"c3583"</definedName>
    <definedName name="IQ_NET_DEBT_ACT_OR_EST_REUT">"c5473"</definedName>
    <definedName name="IQ_NET_DEBT_EBITDA">"c750"</definedName>
    <definedName name="IQ_NET_DEBT_EBITDA_CAPEX">"c2949"</definedName>
    <definedName name="IQ_NET_DEBT_EST">"c3517"</definedName>
    <definedName name="IQ_NET_DEBT_EST_REUT">"c3976"</definedName>
    <definedName name="IQ_NET_DEBT_GUIDANCE">"c4467"</definedName>
    <definedName name="IQ_NET_DEBT_HIGH_EST">"c3518"</definedName>
    <definedName name="IQ_NET_DEBT_HIGH_EST_REUT">"c3978"</definedName>
    <definedName name="IQ_NET_DEBT_HIGH_GUIDANCE">"c4181"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>"c3519"</definedName>
    <definedName name="IQ_NET_DEBT_LOW_EST_REUT">"c3979"</definedName>
    <definedName name="IQ_NET_DEBT_LOW_GUIDANCE">"c4221"</definedName>
    <definedName name="IQ_NET_DEBT_MEDIAN_EST">"c3520"</definedName>
    <definedName name="IQ_NET_DEBT_MEDIAN_EST_REUT">"c3977"</definedName>
    <definedName name="IQ_NET_DEBT_NUM_EST">"c3515"</definedName>
    <definedName name="IQ_NET_DEBT_NUM_EST_REUT">"c3980"</definedName>
    <definedName name="IQ_NET_DEBT_STDDEV_EST">"c3516"</definedName>
    <definedName name="IQ_NET_DEBT_STDDEV_EST_REUT">"c3981"</definedName>
    <definedName name="IQ_NET_EARNED">"c2734"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COME_FDIC">"c6587"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EXT_SINK_FUND_AMOUNT">"c2490"</definedName>
    <definedName name="IQ_NEXT_SINK_FUND_DATE">"c2489"</definedName>
    <definedName name="IQ_NEXT_SINK_FUND_PRICE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>"c2222"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BEFORE_CAPITALIZED">"c792"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EST">"c1716"</definedName>
    <definedName name="IQ_NI_EST_REUT">"c5368"</definedName>
    <definedName name="IQ_NI_GAAP_GUIDANCE">"c4470"</definedName>
    <definedName name="IQ_NI_GAAP_HIGH_GUIDANCE">"c4177"</definedName>
    <definedName name="IQ_NI_GAAP_LOW_GUIDANCE">"c4217"</definedName>
    <definedName name="IQ_NI_GUIDANCE">"c4469"</definedName>
    <definedName name="IQ_NI_GW_EST">"c1723"</definedName>
    <definedName name="IQ_NI_GW_EST_REUT">"c5375"</definedName>
    <definedName name="IQ_NI_GW_GUIDANCE">"c4471"</definedName>
    <definedName name="IQ_NI_GW_HIGH_EST">"c1725"</definedName>
    <definedName name="IQ_NI_GW_HIGH_EST_REUT">"c5377"</definedName>
    <definedName name="IQ_NI_GW_HIGH_GUIDANCE">"c4178"</definedName>
    <definedName name="IQ_NI_GW_LOW_EST">"c1726"</definedName>
    <definedName name="IQ_NI_GW_LOW_EST_REUT">"c5378"</definedName>
    <definedName name="IQ_NI_GW_LOW_GUIDANCE">"c4218"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HIGH_GUIDANCE">"c4176"</definedName>
    <definedName name="IQ_NI_LOW_EST">"c1719"</definedName>
    <definedName name="IQ_NI_LOW_EST_REUT">"c5371"</definedName>
    <definedName name="IQ_NI_LOW_GUIDANCE">"c4216"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>"c4474"</definedName>
    <definedName name="IQ_NI_SBC_ACT_OR_EST_CIQ">"c5012"</definedName>
    <definedName name="IQ_NI_SBC_EST">"c4473"</definedName>
    <definedName name="IQ_NI_SBC_GUIDANCE">"c4475"</definedName>
    <definedName name="IQ_NI_SBC_GW_ACT_OR_EST">"c4478"</definedName>
    <definedName name="IQ_NI_SBC_GW_ACT_OR_EST_CIQ">"c5016"</definedName>
    <definedName name="IQ_NI_SBC_GW_EST">"c4477"</definedName>
    <definedName name="IQ_NI_SBC_GW_GUIDANCE">"c4479"</definedName>
    <definedName name="IQ_NI_SBC_GW_HIGH_EST">"c4480"</definedName>
    <definedName name="IQ_NI_SBC_GW_HIGH_GUIDANCE">"c4187"</definedName>
    <definedName name="IQ_NI_SBC_GW_LOW_EST">"c4481"</definedName>
    <definedName name="IQ_NI_SBC_GW_LOW_GUIDANCE">"c4227"</definedName>
    <definedName name="IQ_NI_SBC_GW_MEDIAN_EST">"c4482"</definedName>
    <definedName name="IQ_NI_SBC_GW_NUM_EST">"c4483"</definedName>
    <definedName name="IQ_NI_SBC_GW_STDDEV_EST">"c4484"</definedName>
    <definedName name="IQ_NI_SBC_HIGH_EST">"c4486"</definedName>
    <definedName name="IQ_NI_SBC_HIGH_GUIDANCE">"c4186"</definedName>
    <definedName name="IQ_NI_SBC_LOW_EST">"c4487"</definedName>
    <definedName name="IQ_NI_SBC_LOW_GUIDANCE">"c4226"</definedName>
    <definedName name="IQ_NI_SBC_MEDIAN_EST">"c4488"</definedName>
    <definedName name="IQ_NI_SBC_NUM_EST">"c4489"</definedName>
    <definedName name="IQ_NI_SBC_STDDEV_EST">"c4490"</definedName>
    <definedName name="IQ_NI_SFAS">"c795"</definedName>
    <definedName name="IQ_NI_STDDEV_EST">"c1721"</definedName>
    <definedName name="IQ_NI_STDDEV_EST_REUT">"c5373"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BEARING_DEPOSITS">"c800"</definedName>
    <definedName name="IQ_NON_INT_EXP">"c801"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>"c6579"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ASH_PENSION_EXP">"c3000"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>"c8468"</definedName>
    <definedName name="IQ_NONRES_FIXED_INVEST_PRIV_APR_UNUSED">"c7588"</definedName>
    <definedName name="IQ_NONRES_FIXED_INVEST_PRIV_APR_UNUSED_UNUSED_UNUSED">"c7588"</definedName>
    <definedName name="IQ_NONRES_FIXED_INVEST_PRIV_FC_UNUSED">"c7808"</definedName>
    <definedName name="IQ_NONRES_FIXED_INVEST_PRIV_FC_UNUSED_UNUSED_UNUSED">"c7808"</definedName>
    <definedName name="IQ_NONRES_FIXED_INVEST_PRIV_POP_FC_UNUSED">"c8028"</definedName>
    <definedName name="IQ_NONRES_FIXED_INVEST_PRIV_POP_FC_UNUSED_UNUSED_UNUSED">"c8028"</definedName>
    <definedName name="IQ_NONRES_FIXED_INVEST_PRIV_POP_UNUSED">"c7148"</definedName>
    <definedName name="IQ_NONRES_FIXED_INVEST_PRIV_POP_UNUSED_UNUSED_UNUSED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>"c8248"</definedName>
    <definedName name="IQ_NONRES_FIXED_INVEST_PRIV_YOY_UNUSED">"c7368"</definedName>
    <definedName name="IQ_NONRES_FIXED_INVEST_PRIV_YOY_UNUSED_UNUSED_UNUSED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NSACTION_ACCOUNTS_FDIC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ANCY_CONSOL">"c8840"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TOTAL_WELLS_DRILLED">"c10096"</definedName>
    <definedName name="IQ_OG_GROSS_OPERATED_WELLS">"c10092"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PRICE">"c848"</definedName>
    <definedName name="IQ_OPER_INC">"c849"</definedName>
    <definedName name="IQ_OPER_INC_ACT_OR_EST">"c2220"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DJUSTMENTS_COVERED">"c9961"</definedName>
    <definedName name="IQ_OTHER_ADJUSTMENTS_GROUP">"c9947"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BT">"c2507"</definedName>
    <definedName name="IQ_OTHER_DEBT_PCT">"c2508"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PC_WRITTEN">"c1006"</definedName>
    <definedName name="IQ_OTHER_PROP">"c8764"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ROOMS">"c8788"</definedName>
    <definedName name="IQ_OTHER_SAVINGS_DEPOSITS_FDIC">"c6554"</definedName>
    <definedName name="IQ_OTHER_SQ_FT">"c8780"</definedName>
    <definedName name="IQ_OTHER_STRIKE_PRICE_GRANTED">"c2692"</definedName>
    <definedName name="IQ_OTHER_TRANSACTIONS_FDIC">"c6504"</definedName>
    <definedName name="IQ_OTHER_UNDRAWN">"c2522"</definedName>
    <definedName name="IQ_OTHER_UNITS">"c8772"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"c2128"</definedName>
    <definedName name="IQ_OUTSTANDING_FILING_DATE">"c1023"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RTNERSHIP_INC_RE">"c12039"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>"c4052"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WEEK">"c1831"</definedName>
    <definedName name="IQ_PERCENT_CHANGE_EST_RECO_WEEK_CIQ">"c3796"</definedName>
    <definedName name="IQ_PERCENT_CHANGE_EST_RECO_WEEK_REUT">"c3966"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INSURED_FDIC">"c6374"</definedName>
    <definedName name="IQ_PERIODDATE">"c1414"</definedName>
    <definedName name="IQ_PERIODDATE_AP">"c11745"</definedName>
    <definedName name="IQ_PERIODDATE_BS">"c1032"</definedName>
    <definedName name="IQ_PERIODDATE_CF">"c1033"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URITIES_FDIC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>"c2236"</definedName>
    <definedName name="IQ_POISON_PUT_EFFECT_DATE">"c2486"</definedName>
    <definedName name="IQ_POISON_PUT_EXPIRATION_DATE">"c2487"</definedName>
    <definedName name="IQ_POISON_PUT_PRICE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OL_AMT_ORIGINAL">"c8970"</definedName>
    <definedName name="IQ_POOL_NAME">"c8967"</definedName>
    <definedName name="IQ_POOL_NUMBER">"c8968"</definedName>
    <definedName name="IQ_POOL_TYPE">"c8969"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>"c2221"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EV_MONTHLY_FACTOR">"c8973"</definedName>
    <definedName name="IQ_PREV_MONTHLY_FACTOR_DATE">"c8974"</definedName>
    <definedName name="IQ_PRICE_CFPS_FWD">"c2237"</definedName>
    <definedName name="IQ_PRICE_CFPS_FWD_REUT">"c4053"</definedName>
    <definedName name="IQ_PRICE_OVER_BVPS">"c1412"</definedName>
    <definedName name="IQ_PRICE_OVER_LTM_EPS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>"c5486"</definedName>
    <definedName name="IQ_PRICE_TARGET_BOTTOM_UP_REUT">"c5494"</definedName>
    <definedName name="IQ_PRICE_TARGET_CIQ">"c3613"</definedName>
    <definedName name="IQ_PRICE_TARGET_REUT">"c3631"</definedName>
    <definedName name="IQ_PRICE_VOLATILITY_EST">"c4492"</definedName>
    <definedName name="IQ_PRICE_VOLATILITY_HIGH">"c4493"</definedName>
    <definedName name="IQ_PRICE_VOLATILITY_LOW">"c4494"</definedName>
    <definedName name="IQ_PRICE_VOLATILITY_MEDIAN">"c4495"</definedName>
    <definedName name="IQ_PRICE_VOLATILITY_NUM">"c4496"</definedName>
    <definedName name="IQ_PRICE_VOLATILITY_STDDEV">"c4497"</definedName>
    <definedName name="IQ_PRICEDATE">"c1069"</definedName>
    <definedName name="IQ_PRICING_DATE">"c1613"</definedName>
    <definedName name="IQ_PRIMARY_EPS_TYPE">"c4498"</definedName>
    <definedName name="IQ_PRIMARY_EPS_TYPE_REUT">"c5481"</definedName>
    <definedName name="IQ_PRIMARY_INDUSTRY">"c1070"</definedName>
    <definedName name="IQ_PRINCIPAL_AMT">"c2157"</definedName>
    <definedName name="IQ_PRIVATE_CONST_TOTAL_APR_FC_UNUSED">"c8559"</definedName>
    <definedName name="IQ_PRIVATE_CONST_TOTAL_APR_FC_UNUSED_UNUSED_UNUSED">"c8559"</definedName>
    <definedName name="IQ_PRIVATE_CONST_TOTAL_APR_UNUSED">"c7679"</definedName>
    <definedName name="IQ_PRIVATE_CONST_TOTAL_APR_UNUSED_UNUSED_UNUSED">"c7679"</definedName>
    <definedName name="IQ_PRIVATE_CONST_TOTAL_FC_UNUSED">"c7899"</definedName>
    <definedName name="IQ_PRIVATE_CONST_TOTAL_FC_UNUSED_UNUSED_UNUSED">"c7899"</definedName>
    <definedName name="IQ_PRIVATE_CONST_TOTAL_POP_FC_UNUSED">"c8119"</definedName>
    <definedName name="IQ_PRIVATE_CONST_TOTAL_POP_FC_UNUSED_UNUSED_UNUSED">"c8119"</definedName>
    <definedName name="IQ_PRIVATE_CONST_TOTAL_POP_UNUSED">"c7239"</definedName>
    <definedName name="IQ_PRIVATE_CONST_TOTAL_POP_UNUSED_UNUSED_UNUSED">"c7239"</definedName>
    <definedName name="IQ_PRIVATE_CONST_TOTAL_UNUSED">"c7019"</definedName>
    <definedName name="IQ_PRIVATE_CONST_TOTAL_UNUSED_UNUSED_UNUSED">"c7019"</definedName>
    <definedName name="IQ_PRIVATE_CONST_TOTAL_YOY_FC_UNUSED">"c8339"</definedName>
    <definedName name="IQ_PRIVATE_CONST_TOTAL_YOY_FC_UNUSED_UNUSED_UNUSED">"c8339"</definedName>
    <definedName name="IQ_PRIVATE_CONST_TOTAL_YOY_UNUSED">"c7459"</definedName>
    <definedName name="IQ_PRIVATE_CONST_TOTAL_YOY_UNUSED_UNUSED_UNUSED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>"c8535"</definedName>
    <definedName name="IQ_PRIVATE_RES_CONST_REAL_APR_UNUSED">"c7655"</definedName>
    <definedName name="IQ_PRIVATE_RES_CONST_REAL_APR_UNUSED_UNUSED_UNUSED">"c7655"</definedName>
    <definedName name="IQ_PRIVATE_RES_CONST_REAL_FC_UNUSED">"c7875"</definedName>
    <definedName name="IQ_PRIVATE_RES_CONST_REAL_FC_UNUSED_UNUSED_UNUSED">"c7875"</definedName>
    <definedName name="IQ_PRIVATE_RES_CONST_REAL_POP_FC_UNUSED">"c8095"</definedName>
    <definedName name="IQ_PRIVATE_RES_CONST_REAL_POP_FC_UNUSED_UNUSED_UNUSED">"c8095"</definedName>
    <definedName name="IQ_PRIVATE_RES_CONST_REAL_POP_UNUSED">"c7215"</definedName>
    <definedName name="IQ_PRIVATE_RES_CONST_REAL_POP_UNUSED_UNUSED_UNUSED">"c7215"</definedName>
    <definedName name="IQ_PRIVATE_RES_CONST_REAL_UNUSED">"c6995"</definedName>
    <definedName name="IQ_PRIVATE_RES_CONST_REAL_UNUSED_UNUSED_UNUSED">"c6995"</definedName>
    <definedName name="IQ_PRIVATE_RES_CONST_REAL_YOY_FC_UNUSED">"c8315"</definedName>
    <definedName name="IQ_PRIVATE_RES_CONST_REAL_YOY_FC_UNUSED_UNUSED_UNUSED">"c8315"</definedName>
    <definedName name="IQ_PRIVATE_RES_CONST_REAL_YOY_UNUSED">"c7435"</definedName>
    <definedName name="IQ_PRIVATE_RES_CONST_REAL_YOY_UNUSED_UNUSED_UNUSED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FESSIONAL">"c1071"</definedName>
    <definedName name="IQ_PROFESSIONAL_TITLE">"c1072"</definedName>
    <definedName name="IQ_PROFIT_AFTER_COST_CAPITAL_NEW_BUSINESS">"c9969"</definedName>
    <definedName name="IQ_PROFIT_BEFORE_COST_CAPITAL_NEW_BUSINESS">"c9967"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">"c8491"</definedName>
    <definedName name="IQ_PURCHASES_EQUIP_NONRES_SAAR_APR_FC_UNUSED_UNUSED_UNUSED">"c8491"</definedName>
    <definedName name="IQ_PURCHASES_EQUIP_NONRES_SAAR_APR_UNUSED">"c7611"</definedName>
    <definedName name="IQ_PURCHASES_EQUIP_NONRES_SAAR_APR_UNUSED_UNUSED_UNUSED">"c7611"</definedName>
    <definedName name="IQ_PURCHASES_EQUIP_NONRES_SAAR_FC_UNUSED">"c7831"</definedName>
    <definedName name="IQ_PURCHASES_EQUIP_NONRES_SAAR_FC_UNUSED_UNUSED_UNUSED">"c7831"</definedName>
    <definedName name="IQ_PURCHASES_EQUIP_NONRES_SAAR_POP_FC_UNUSED">"c8051"</definedName>
    <definedName name="IQ_PURCHASES_EQUIP_NONRES_SAAR_POP_FC_UNUSED_UNUSED_UNUSED">"c8051"</definedName>
    <definedName name="IQ_PURCHASES_EQUIP_NONRES_SAAR_POP_UNUSED">"c7171"</definedName>
    <definedName name="IQ_PURCHASES_EQUIP_NONRES_SAAR_POP_UNUSED_UNUSED_UNUSED">"c7171"</definedName>
    <definedName name="IQ_PURCHASES_EQUIP_NONRES_SAAR_UNUSED">"c6951"</definedName>
    <definedName name="IQ_PURCHASES_EQUIP_NONRES_SAAR_UNUSED_UNUSED_UNUSED">"c6951"</definedName>
    <definedName name="IQ_PURCHASES_EQUIP_NONRES_SAAR_YOY_FC_UNUSED">"c8271"</definedName>
    <definedName name="IQ_PURCHASES_EQUIP_NONRES_SAAR_YOY_FC_UNUSED_UNUSED_UNUSED">"c8271"</definedName>
    <definedName name="IQ_PURCHASES_EQUIP_NONRES_SAAR_YOY_UNUSED">"c7391"</definedName>
    <definedName name="IQ_PURCHASES_EQUIP_NONRES_SAAR_YOY_UNUSED_UNUSED_UNUSED">"c7391"</definedName>
    <definedName name="IQ_PUT_DATE_SCHEDULE">"c2483"</definedName>
    <definedName name="IQ_PUT_NOTIFICATION">"c2485"</definedName>
    <definedName name="IQ_PUT_PRICE_SCHEDULE">"c2484"</definedName>
    <definedName name="IQ_PV_PREMIUMS_NEW_BUSINESS">"c9973"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DEPR_AMORT">"c8750"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>"c6332"</definedName>
    <definedName name="IQ_RE_GAIN_LOSS_SALE_ASSETS">"c8751"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CURRING_PROFIT_ACT_OR_EST">"c4507"</definedName>
    <definedName name="IQ_RECURRING_PROFIT_ACT_OR_EST_CIQ">"c5045"</definedName>
    <definedName name="IQ_RECURRING_PROFIT_EST">"c4499"</definedName>
    <definedName name="IQ_RECURRING_PROFIT_GUIDANCE">"c4500"</definedName>
    <definedName name="IQ_RECURRING_PROFIT_HIGH_EST">"c4501"</definedName>
    <definedName name="IQ_RECURRING_PROFIT_HIGH_GUIDANCE">"c4179"</definedName>
    <definedName name="IQ_RECURRING_PROFIT_LOW_EST">"c4502"</definedName>
    <definedName name="IQ_RECURRING_PROFIT_LOW_GUIDANCE">"c4219"</definedName>
    <definedName name="IQ_RECURRING_PROFIT_MEDIAN_EST">"c4503"</definedName>
    <definedName name="IQ_RECURRING_PROFIT_NUM_EST">"c4504"</definedName>
    <definedName name="IQ_RECURRING_PROFIT_SHARE_ACT_OR_EST">"c4508"</definedName>
    <definedName name="IQ_RECURRING_PROFIT_SHARE_ACT_OR_EST_CIQ">"c5046"</definedName>
    <definedName name="IQ_RECURRING_PROFIT_SHARE_EST">"c4506"</definedName>
    <definedName name="IQ_RECURRING_PROFIT_SHARE_GUIDANCE">"c4509"</definedName>
    <definedName name="IQ_RECURRING_PROFIT_SHARE_HIGH_EST">"c4510"</definedName>
    <definedName name="IQ_RECURRING_PROFIT_SHARE_HIGH_GUIDANCE">"c4200"</definedName>
    <definedName name="IQ_RECURRING_PROFIT_SHARE_LOW_EST">"c4511"</definedName>
    <definedName name="IQ_RECURRING_PROFIT_SHARE_LOW_GUIDANCE">"c4240"</definedName>
    <definedName name="IQ_RECURRING_PROFIT_SHARE_MEDIAN_EST">"c4512"</definedName>
    <definedName name="IQ_RECURRING_PROFIT_SHARE_NUM_EST">"c4513"</definedName>
    <definedName name="IQ_RECURRING_PROFIT_SHARE_STDDEV_EST">"c4514"</definedName>
    <definedName name="IQ_RECURRING_PROFIT_STDDEV_EST">"c4516"</definedName>
    <definedName name="IQ_REDEEM_PREF_STOCK">"c1417"</definedName>
    <definedName name="IQ_REF_ENTITY">"c6033"</definedName>
    <definedName name="IQ_REF_ENTITY_CIQID">"c6024"</definedName>
    <definedName name="IQ_REF_ENTITY_TICKER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AL_REV">"c1101"</definedName>
    <definedName name="IQ_RES_CONST_REAL_APR_FC_UNUSED">"c8536"</definedName>
    <definedName name="IQ_RES_CONST_REAL_APR_FC_UNUSED_UNUSED_UNUSED">"c8536"</definedName>
    <definedName name="IQ_RES_CONST_REAL_APR_UNUSED">"c7656"</definedName>
    <definedName name="IQ_RES_CONST_REAL_APR_UNUSED_UNUSED_UNUSED">"c7656"</definedName>
    <definedName name="IQ_RES_CONST_REAL_FC_UNUSED">"c7876"</definedName>
    <definedName name="IQ_RES_CONST_REAL_FC_UNUSED_UNUSED_UNUSED">"c7876"</definedName>
    <definedName name="IQ_RES_CONST_REAL_POP_FC_UNUSED">"c8096"</definedName>
    <definedName name="IQ_RES_CONST_REAL_POP_FC_UNUSED_UNUSED_UNUSED">"c8096"</definedName>
    <definedName name="IQ_RES_CONST_REAL_POP_UNUSED">"c7216"</definedName>
    <definedName name="IQ_RES_CONST_REAL_POP_UNUSED_UNUSED_UNUSED">"c7216"</definedName>
    <definedName name="IQ_RES_CONST_REAL_SAAR_APR_FC_UNUSED">"c8537"</definedName>
    <definedName name="IQ_RES_CONST_REAL_SAAR_APR_FC_UNUSED_UNUSED_UNUSED">"c8537"</definedName>
    <definedName name="IQ_RES_CONST_REAL_SAAR_APR_UNUSED">"c7657"</definedName>
    <definedName name="IQ_RES_CONST_REAL_SAAR_APR_UNUSED_UNUSED_UNUSED">"c7657"</definedName>
    <definedName name="IQ_RES_CONST_REAL_SAAR_FC_UNUSED">"c7877"</definedName>
    <definedName name="IQ_RES_CONST_REAL_SAAR_FC_UNUSED_UNUSED_UNUSED">"c7877"</definedName>
    <definedName name="IQ_RES_CONST_REAL_SAAR_POP_FC_UNUSED">"c8097"</definedName>
    <definedName name="IQ_RES_CONST_REAL_SAAR_POP_FC_UNUSED_UNUSED_UNUSED">"c8097"</definedName>
    <definedName name="IQ_RES_CONST_REAL_SAAR_POP_UNUSED">"c7217"</definedName>
    <definedName name="IQ_RES_CONST_REAL_SAAR_POP_UNUSED_UNUSED_UNUSED">"c7217"</definedName>
    <definedName name="IQ_RES_CONST_REAL_SAAR_UNUSED">"c6997"</definedName>
    <definedName name="IQ_RES_CONST_REAL_SAAR_UNUSED_UNUSED_UNUSED">"c6997"</definedName>
    <definedName name="IQ_RES_CONST_REAL_SAAR_YOY_FC_UNUSED">"c8317"</definedName>
    <definedName name="IQ_RES_CONST_REAL_SAAR_YOY_FC_UNUSED_UNUSED_UNUSED">"c8317"</definedName>
    <definedName name="IQ_RES_CONST_REAL_SAAR_YOY_UNUSED">"c7437"</definedName>
    <definedName name="IQ_RES_CONST_REAL_SAAR_YOY_UNUSED_UNUSED_UNUSED">"c7437"</definedName>
    <definedName name="IQ_RES_CONST_REAL_UNUSED">"c6996"</definedName>
    <definedName name="IQ_RES_CONST_REAL_UNUSED_UNUSED_UNUSED">"c6996"</definedName>
    <definedName name="IQ_RES_CONST_REAL_YOY_FC_UNUSED">"c8316"</definedName>
    <definedName name="IQ_RES_CONST_REAL_YOY_FC_UNUSED_UNUSED_UNUSED">"c8316"</definedName>
    <definedName name="IQ_RES_CONST_REAL_YOY_UNUSED">"c7436"</definedName>
    <definedName name="IQ_RES_CONST_REAL_YOY_UNUSED_UNUSED_UNUSED">"c7436"</definedName>
    <definedName name="IQ_RES_CONST_SAAR_APR_FC_UNUSED">"c8540"</definedName>
    <definedName name="IQ_RES_CONST_SAAR_APR_FC_UNUSED_UNUSED_UNUSED">"c8540"</definedName>
    <definedName name="IQ_RES_CONST_SAAR_APR_UNUSED">"c7660"</definedName>
    <definedName name="IQ_RES_CONST_SAAR_APR_UNUSED_UNUSED_UNUSED">"c7660"</definedName>
    <definedName name="IQ_RES_CONST_SAAR_FC_UNUSED">"c7880"</definedName>
    <definedName name="IQ_RES_CONST_SAAR_FC_UNUSED_UNUSED_UNUSED">"c7880"</definedName>
    <definedName name="IQ_RES_CONST_SAAR_POP_FC_UNUSED">"c8100"</definedName>
    <definedName name="IQ_RES_CONST_SAAR_POP_FC_UNUSED_UNUSED_UNUSED">"c8100"</definedName>
    <definedName name="IQ_RES_CONST_SAAR_POP_UNUSED">"c7220"</definedName>
    <definedName name="IQ_RES_CONST_SAAR_POP_UNUSED_UNUSED_UNUSED">"c7220"</definedName>
    <definedName name="IQ_RES_CONST_SAAR_UNUSED">"c7000"</definedName>
    <definedName name="IQ_RES_CONST_SAAR_UNUSED_UNUSED_UNUSED">"c7000"</definedName>
    <definedName name="IQ_RES_CONST_SAAR_YOY_FC_UNUSED">"c8320"</definedName>
    <definedName name="IQ_RES_CONST_SAAR_YOY_FC_UNUSED_UNUSED_UNUSED">"c8320"</definedName>
    <definedName name="IQ_RES_CONST_SAAR_YOY_UNUSED">"c7440"</definedName>
    <definedName name="IQ_RES_CONST_SAAR_YOY_UNUSED_UNUSED_UNUSED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"c1419"</definedName>
    <definedName name="IQ_RESIDENTIAL_LOANS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CQUIRED_AFFILIATED_OTHER_STORES">"c9892"</definedName>
    <definedName name="IQ_RETAIL_ACQUIRED_FRANCHISE_STORES">"c2903"</definedName>
    <definedName name="IQ_RETAIL_ACQUIRED_OWNED_STORES">"c2895"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SALES">"c7003"</definedName>
    <definedName name="IQ_RETAIL_SALES_APR">"c7663"</definedName>
    <definedName name="IQ_RETAIL_SALES_APR_FC">"c8543"</definedName>
    <definedName name="IQ_RETAIL_SALES_CATALOG">"c9903"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"c9904"</definedName>
    <definedName name="IQ_RETAIL_SALES_POP">"c7223"</definedName>
    <definedName name="IQ_RETAIL_SALES_POP_FC">"c8103"</definedName>
    <definedName name="IQ_RETAIL_SALES_RETAIL">"c9902"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">"c3585"</definedName>
    <definedName name="IQ_RETURN_ASSETS_ACT_OR_EST_REUT">"c5475"</definedName>
    <definedName name="IQ_RETURN_ASSETS_BANK">"c1114"</definedName>
    <definedName name="IQ_RETURN_ASSETS_BROK">"c1115"</definedName>
    <definedName name="IQ_RETURN_ASSETS_EST">"c3529"</definedName>
    <definedName name="IQ_RETURN_ASSETS_EST_REUT">"c3990"</definedName>
    <definedName name="IQ_RETURN_ASSETS_FDIC">"c6730"</definedName>
    <definedName name="IQ_RETURN_ASSETS_FS">"c1116"</definedName>
    <definedName name="IQ_RETURN_ASSETS_GUIDANCE">"c4517"</definedName>
    <definedName name="IQ_RETURN_ASSETS_HIGH_EST">"c3530"</definedName>
    <definedName name="IQ_RETURN_ASSETS_HIGH_EST_REUT">"c3992"</definedName>
    <definedName name="IQ_RETURN_ASSETS_HIGH_GUIDANCE">"c4183"</definedName>
    <definedName name="IQ_RETURN_ASSETS_LOW_EST">"c3531"</definedName>
    <definedName name="IQ_RETURN_ASSETS_LOW_EST_REUT">"c3993"</definedName>
    <definedName name="IQ_RETURN_ASSETS_LOW_GUIDANCE">"c4223"</definedName>
    <definedName name="IQ_RETURN_ASSETS_MEDIAN_EST">"c3532"</definedName>
    <definedName name="IQ_RETURN_ASSETS_MEDIAN_EST_REUT">"c3991"</definedName>
    <definedName name="IQ_RETURN_ASSETS_NUM_EST">"c3527"</definedName>
    <definedName name="IQ_RETURN_ASSETS_NUM_EST_REUT">"c3994"</definedName>
    <definedName name="IQ_RETURN_ASSETS_STDDEV_EST">"c3528"</definedName>
    <definedName name="IQ_RETURN_ASSETS_STDDEV_EST_REUT">"c3995"</definedName>
    <definedName name="IQ_RETURN_CAPITAL">"c1117"</definedName>
    <definedName name="IQ_RETURN_EMBEDDED_VALUE">"c9974"</definedName>
    <definedName name="IQ_RETURN_EQUITY">"c1118"</definedName>
    <definedName name="IQ_RETURN_EQUITY_ACT_OR_EST">"c3586"</definedName>
    <definedName name="IQ_RETURN_EQUITY_ACT_OR_EST_REUT">"c5476"</definedName>
    <definedName name="IQ_RETURN_EQUITY_BANK">"c1119"</definedName>
    <definedName name="IQ_RETURN_EQUITY_BROK">"c1120"</definedName>
    <definedName name="IQ_RETURN_EQUITY_EST">"c3535"</definedName>
    <definedName name="IQ_RETURN_EQUITY_EST_REUT">"c3983"</definedName>
    <definedName name="IQ_RETURN_EQUITY_FDIC">"c6732"</definedName>
    <definedName name="IQ_RETURN_EQUITY_FS">"c1121"</definedName>
    <definedName name="IQ_RETURN_EQUITY_GUIDANCE">"c4518"</definedName>
    <definedName name="IQ_RETURN_EQUITY_HIGH_EST">"c3536"</definedName>
    <definedName name="IQ_RETURN_EQUITY_HIGH_EST_REUT">"c3985"</definedName>
    <definedName name="IQ_RETURN_EQUITY_HIGH_GUIDANCE">"c4182"</definedName>
    <definedName name="IQ_RETURN_EQUITY_LOW_EST">"c3537"</definedName>
    <definedName name="IQ_RETURN_EQUITY_LOW_EST_REUT">"c3986"</definedName>
    <definedName name="IQ_RETURN_EQUITY_LOW_GUIDANCE">"c4222"</definedName>
    <definedName name="IQ_RETURN_EQUITY_MEDIAN_EST">"c3538"</definedName>
    <definedName name="IQ_RETURN_EQUITY_MEDIAN_EST_REUT">"c3984"</definedName>
    <definedName name="IQ_RETURN_EQUITY_NUM_EST">"c3533"</definedName>
    <definedName name="IQ_RETURN_EQUITY_NUM_EST_REUT">"c3987"</definedName>
    <definedName name="IQ_RETURN_EQUITY_STDDEV_EST">"c3534"</definedName>
    <definedName name="IQ_RETURN_EQUITY_STDDEV_EST_REUT">"c3988"</definedName>
    <definedName name="IQ_RETURN_INVESTMENT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ACT_OR_EST">"c2214"</definedName>
    <definedName name="IQ_REVENUE_ACT_OR_EST_CIQ">"c5059"</definedName>
    <definedName name="IQ_REVENUE_ACT_OR_EST_REUT">"c5461"</definedName>
    <definedName name="IQ_REVENUE_EST">"c1126"</definedName>
    <definedName name="IQ_REVENUE_EST_BOTTOM_UP">"c5488"</definedName>
    <definedName name="IQ_REVENUE_EST_BOTTOM_UP_REUT">"c5496"</definedName>
    <definedName name="IQ_REVENUE_EST_CIQ">"c3616"</definedName>
    <definedName name="IQ_REVENUE_EST_REUT">"c3634"</definedName>
    <definedName name="IQ_REVENUE_GUIDANCE">"c4519"</definedName>
    <definedName name="IQ_REVENUE_HIGH_EST">"c1127"</definedName>
    <definedName name="IQ_REVENUE_HIGH_EST_CIQ">"c3618"</definedName>
    <definedName name="IQ_REVENUE_HIGH_EST_REUT">"c3636"</definedName>
    <definedName name="IQ_REVENUE_HIGH_GUIDANCE">"c4169"</definedName>
    <definedName name="IQ_REVENUE_LOW_EST">"c1128"</definedName>
    <definedName name="IQ_REVENUE_LOW_EST_CIQ">"c3619"</definedName>
    <definedName name="IQ_REVENUE_LOW_EST_REUT">"c3637"</definedName>
    <definedName name="IQ_REVENUE_LOW_GUIDANCE">"c4209"</definedName>
    <definedName name="IQ_REVENUE_MEDIAN_EST">"c1662"</definedName>
    <definedName name="IQ_REVENUE_MEDIAN_EST_CIQ">"c3617"</definedName>
    <definedName name="IQ_REVENUE_MEDIAN_EST_REUT">"c3635"</definedName>
    <definedName name="IQ_REVENUE_NUM_EST">"c1129"</definedName>
    <definedName name="IQ_REVENUE_NUM_EST_CIQ">"c3620"</definedName>
    <definedName name="IQ_REVENUE_NUM_EST_REUT">"c3638"</definedName>
    <definedName name="IQ_REVISION_DATE_">39188.7305324074</definedName>
    <definedName name="IQ_RISK_ADJ_BANK_ASSETS">"c2670"</definedName>
    <definedName name="IQ_RISK_WEIGHTED_ASSETS_FDIC">"c6370"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EC_PURCHASED_RESELL">"c5513"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DEBT">"c2546"</definedName>
    <definedName name="IQ_SECURED_DEBT_PCT">"c2547"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">"c10005"</definedName>
    <definedName name="IQ_SEMI_BACKLOG_AVG_PRICE">"c10006"</definedName>
    <definedName name="IQ_SEMI_BACKLOG_VALUE">"c10007"</definedName>
    <definedName name="IQ_SEMI_BOOK_TO_BILL_RATIO">"c10008"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ERVICE_FEE">"c8951"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URCE">"c1168"</definedName>
    <definedName name="IQ_SP">"c2171"</definedName>
    <definedName name="IQ_SP_BANK">"c2637"</definedName>
    <definedName name="IQ_SP_BANK_ACTION">"c2636"</definedName>
    <definedName name="IQ_SP_BANK_DATE">"c2635"</definedName>
    <definedName name="IQ_SP_DATE">"c2172"</definedName>
    <definedName name="IQ_SP_FIN_ENHANCE_FX">"c2631"</definedName>
    <definedName name="IQ_SP_FIN_ENHANCE_FX_ACTION">"c2630"</definedName>
    <definedName name="IQ_SP_FIN_ENHANCE_FX_DATE">"c2629"</definedName>
    <definedName name="IQ_SP_FIN_ENHANCE_LC">"c2634"</definedName>
    <definedName name="IQ_SP_FIN_ENHANCE_LC_ACTION">"c2633"</definedName>
    <definedName name="IQ_SP_FIN_ENHANCE_LC_DATE">"c2632"</definedName>
    <definedName name="IQ_SP_FIN_STRENGTH_LC_ACTION_LT">"c2625"</definedName>
    <definedName name="IQ_SP_FIN_STRENGTH_LC_ACTION_ST">"c2626"</definedName>
    <definedName name="IQ_SP_FIN_STRENGTH_LC_DATE_LT">"c2623"</definedName>
    <definedName name="IQ_SP_FIN_STRENGTH_LC_DATE_ST">"c2624"</definedName>
    <definedName name="IQ_SP_FIN_STRENGTH_LC_LT">"c2627"</definedName>
    <definedName name="IQ_SP_FIN_STRENGTH_LC_ST">"c2628"</definedName>
    <definedName name="IQ_SP_FX_ACTION_LT">"c2613"</definedName>
    <definedName name="IQ_SP_FX_ACTION_ST">"c2614"</definedName>
    <definedName name="IQ_SP_FX_DATE_LT">"c2611"</definedName>
    <definedName name="IQ_SP_FX_DATE_ST">"c2612"</definedName>
    <definedName name="IQ_SP_FX_LT">"c2615"</definedName>
    <definedName name="IQ_SP_FX_ST">"c2616"</definedName>
    <definedName name="IQ_SP_ISSUE_ACTION">"c2644"</definedName>
    <definedName name="IQ_SP_ISSUE_DATE">"c2643"</definedName>
    <definedName name="IQ_SP_ISSUE_LT">"c2645"</definedName>
    <definedName name="IQ_SP_ISSUE_OUTLOOK_WATCH">"c2650"</definedName>
    <definedName name="IQ_SP_ISSUE_OUTLOOK_WATCH_DATE">"c2649"</definedName>
    <definedName name="IQ_SP_ISSUE_RECOVER">"c2648"</definedName>
    <definedName name="IQ_SP_ISSUE_RECOVER_ACTION">"c2647"</definedName>
    <definedName name="IQ_SP_ISSUE_RECOVER_DATE">"c2646"</definedName>
    <definedName name="IQ_SP_LC_ACTION_LT">"c2619"</definedName>
    <definedName name="IQ_SP_LC_ACTION_ST">"c2620"</definedName>
    <definedName name="IQ_SP_LC_DATE_LT">"c2617"</definedName>
    <definedName name="IQ_SP_LC_DATE_ST">"c2618"</definedName>
    <definedName name="IQ_SP_LC_LT">"c2621"</definedName>
    <definedName name="IQ_SP_LC_ST">"c2622"</definedName>
    <definedName name="IQ_SP_OUTLOOK_WATCH">"c2639"</definedName>
    <definedName name="IQ_SP_OUTLOOK_WATCH_DATE">"c2638"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MP">"c3512"</definedName>
    <definedName name="IQ_STOCK_BASED_COMP_PRETAX">"c3510"</definedName>
    <definedName name="IQ_STOCK_BASED_COMP_TAX">"c3511"</definedName>
    <definedName name="IQ_STOCK_BASED_EST">"c4520"</definedName>
    <definedName name="IQ_STOCK_BASED_GA">"c2993"</definedName>
    <definedName name="IQ_STOCK_BASED_HIGH_EST">"c4521"</definedName>
    <definedName name="IQ_STOCK_BASED_LOW_EST">"c4522"</definedName>
    <definedName name="IQ_STOCK_BASED_MEDIAN_EST">"c4523"</definedName>
    <definedName name="IQ_STOCK_BASED_NUM_EST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TEGY_NOTE">"c6791"</definedName>
    <definedName name="IQ_STRIKE_PRICE_ISSUED">"c1645"</definedName>
    <definedName name="IQ_STRIKE_PRICE_OS">"c1646"</definedName>
    <definedName name="IQ_STRUCT_FIN_CLASS">"c8950"</definedName>
    <definedName name="IQ_STRUCT_FIN_SERIES">"c8956"</definedName>
    <definedName name="IQ_STW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NUM">"c1653"</definedName>
    <definedName name="IQ_TARGET_PRICE_NUM_CIQ">"c4661"</definedName>
    <definedName name="IQ_TARGET_PRICE_NUM_REUT">"c5319"</definedName>
    <definedName name="IQ_TARGET_PRICE_STDDEV">"c1654"</definedName>
    <definedName name="IQ_TARGET_PRICE_STDDEV_CIQ">"c4662"</definedName>
    <definedName name="IQ_TARGET_PRICE_STDDEV_REUT">"c5320"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RM_LOANS">"c2499"</definedName>
    <definedName name="IQ_TERM_LOANS_PCT">"c2500"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>"c4050"</definedName>
    <definedName name="IQ_TEV_EMPLOYEE_AVG">"c1225"</definedName>
    <definedName name="IQ_TEV_EST">"c4526"</definedName>
    <definedName name="IQ_TEV_HIGH_EST">"c4527"</definedName>
    <definedName name="IQ_TEV_LOW_EST">"c4528"</definedName>
    <definedName name="IQ_TEV_MEDIAN_EST">"c4529"</definedName>
    <definedName name="IQ_TEV_NUM_EST">"c4530"</definedName>
    <definedName name="IQ_TEV_STDDEV_EST">"c4531"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CAPITAL">"c2667"</definedName>
    <definedName name="IQ_TIER_ONE_FDIC">"c6369"</definedName>
    <definedName name="IQ_TIER_ONE_RATIO">"c1229"</definedName>
    <definedName name="IQ_TIER_TWO_CAPITAL">"c2669"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FDIC">"c6339"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CURRENT">"c6190"</definedName>
    <definedName name="IQ_TOTAL_DEBT_EBITDA">"c1249"</definedName>
    <definedName name="IQ_TOTAL_DEBT_EBITDA_CAPEX">"c2948"</definedName>
    <definedName name="IQ_TOTAL_DEBT_EQUITY">"c1250"</definedName>
    <definedName name="IQ_TOTAL_DEBT_EST">"c4532"</definedName>
    <definedName name="IQ_TOTAL_DEBT_EXCL_FIN">"c2937"</definedName>
    <definedName name="IQ_TOTAL_DEBT_GUIDANCE">"c4533"</definedName>
    <definedName name="IQ_TOTAL_DEBT_HIGH_EST">"c4534"</definedName>
    <definedName name="IQ_TOTAL_DEBT_HIGH_GUIDANCE">"c4196"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>"c4535"</definedName>
    <definedName name="IQ_TOTAL_DEBT_LOW_GUIDANCE">"c4236"</definedName>
    <definedName name="IQ_TOTAL_DEBT_MEDIAN_EST">"c4536"</definedName>
    <definedName name="IQ_TOTAL_DEBT_NON_CURRENT">"c6191"</definedName>
    <definedName name="IQ_TOTAL_DEBT_NUM_EST">"c4537"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>"c6410"</definedName>
    <definedName name="IQ_TOTAL_DEBT_STDDEV_EST">"c4538"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SUBTOTAL_AP">"c8989"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ANS">"c5653"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>"c6622"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"c1436"</definedName>
    <definedName name="IQ_TOTAL_RISK_BASED_CAPITAL_RATIO_FDIC">"c6747"</definedName>
    <definedName name="IQ_TOTAL_ROOMS">"c8789"</definedName>
    <definedName name="IQ_TOTAL_SECURITIES_FDIC">"c6306"</definedName>
    <definedName name="IQ_TOTAL_SPECIAL">"c1618"</definedName>
    <definedName name="IQ_TOTAL_SQ_FT">"c8781"</definedName>
    <definedName name="IQ_TOTAL_ST_BORROW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>"c6497"</definedName>
    <definedName name="IQ_TOTAL_TIME_SAVINGS_DEPOSITS_FDIC">"c6498"</definedName>
    <definedName name="IQ_TOTAL_UNITS">"c8773"</definedName>
    <definedName name="IQ_TOTAL_UNUSED_COMMITMENTS_FDIC">"c6536"</definedName>
    <definedName name="IQ_TOTAL_UNUSUAL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FIN_ADVISORS">"c3045"</definedName>
    <definedName name="IQ_TR_BUY_LEG_ADVISORS">"c2387"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NEWAL_BUYBACK">"c2413"</definedName>
    <definedName name="IQ_TR_ROUND_NUMBER">"c2295"</definedName>
    <definedName name="IQ_TR_SEC_FEES">"c2274"</definedName>
    <definedName name="IQ_TR_SECURITY_TYPE_REG">"c2279"</definedName>
    <definedName name="IQ_TR_SELL_ACC_ADVISORS">"c3049"</definedName>
    <definedName name="IQ_TR_SELL_FIN_ADVISORS">"c3046"</definedName>
    <definedName name="IQ_TR_SELL_LEG_ADVISORS">"c2388"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"c2298"</definedName>
    <definedName name="IQ_TR_TERM_FEE_PCT">"c2297"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ITEM_CIQID">"c8949"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>"c8959"</definedName>
    <definedName name="IQ_TWELVE_MONTHS_FIXED_AND_FLOATING_FDIC">"c6420"</definedName>
    <definedName name="IQ_TWELVE_MONTHS_MORTGAGE_PASS_THROUGHS_FDIC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CONSOL_BEDS">"c8783"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WRITER">"c8958"</definedName>
    <definedName name="IQ_UNDERWRITING_PROFIT">"c9975"</definedName>
    <definedName name="IQ_UNDIVIDED_PROFITS_FDIC">"c6352"</definedName>
    <definedName name="IQ_UNDRAWN_CP">"c2518"</definedName>
    <definedName name="IQ_UNDRAWN_CREDIT">"c3032"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SECURED_DEBT">"c2548"</definedName>
    <definedName name="IQ_UNSECURED_DEBT_PCT">"c2549"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_ADJ">"c2927"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_ADJ">"c2959"</definedName>
    <definedName name="IQ_US_GAAP_EXTRA_ACC_ITEMS_ADJ">"c2958"</definedName>
    <definedName name="IQ_US_GAAP_INC_TAX_ADJ">"c2961"</definedName>
    <definedName name="IQ_US_GAAP_INTEREST_EXP_ADJ">"c2957"</definedName>
    <definedName name="IQ_US_GAAP_LIAB_LT_ADJ">"c2928"</definedName>
    <definedName name="IQ_US_GAAP_LIAB_TOTAL_LIAB">"c2933"</definedName>
    <definedName name="IQ_US_GAAP_MINORITY_INTEREST_IS_ADJ">"c2960"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INCL">"c2978"</definedName>
    <definedName name="IQ_US_GAAP_OTHER_ADJ_ADJ">"c2962"</definedName>
    <definedName name="IQ_US_GAAP_OTHER_NON_OPER_ADJ">"c2955"</definedName>
    <definedName name="IQ_US_GAAP_OTHER_OPER_ADJ">"c2954"</definedName>
    <definedName name="IQ_US_GAAP_RD_ADJ">"c2953"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_ADJ">"c2950"</definedName>
    <definedName name="IQ_US_GAAP_TOTAL_UNUSUAL_ADJ">"c2956"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AC_CURRENT">"c8961"</definedName>
    <definedName name="IQ_WAC_ORIGINAL">"c8953"</definedName>
    <definedName name="IQ_WAM_CURRENT">"c8962"</definedName>
    <definedName name="IQ_WAM_ORIGINAL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ORKING_CAP">"c3494"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_FOUNDED">"c6793"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RISBUSX3">{"'BGT2001'!$A$1:$AE$112"}</definedName>
    <definedName name="irooru">{"'BGT2001'!$A$1:$AE$112"}</definedName>
    <definedName name="Items">[0]!Items</definedName>
    <definedName name="Itesm">[0]!Itesm</definedName>
    <definedName name="IUU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">{#N/A,#N/A,FALSE,"EXIT";#N/A,#N/A,FALSE,"Issue";#N/A,#N/A,FALSE,"Summary";#N/A,#N/A,FALSE,"Detail";#N/A,#N/A,FALSE,"Attendance"}</definedName>
    <definedName name="jean">{#N/A,#N/A,FALSE,"SUMMARY";#N/A,#N/A,FALSE,"TOTAL AF";#N/A,#N/A,FALSE,"May A"}</definedName>
    <definedName name="jjjjj">{#N/A,#N/A,FALSE,"EXIT";#N/A,#N/A,FALSE,"Issues";#N/A,#N/A,FALSE,"Summary";#N/A,#N/A,FALSE,"Detail";#N/A,#N/A,FALSE,"Attendance"}</definedName>
    <definedName name="jk">[13]TiemposLaplace!jk</definedName>
    <definedName name="jkl">{#N/A,#N/A,FALSE,"BS 8 96 - 95";#N/A,#N/A,FALSE,"BS 8 96 - 96";#N/A,#N/A,FALSE,"BS 8 97 - 96";#N/A,#N/A,FALSE,"BS 8 98 - 97";#N/A,#N/A,FALSE,"BS 8 99 - 98";#N/A,#N/A,FALSE,"BS 8 00 - 99"}</definedName>
    <definedName name="jnuiniun">{"recap",#N/A,FALSE,"1999"}</definedName>
    <definedName name="jorge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juan">{#N/A,#N/A,FALSE,"SUMMARY";#N/A,#N/A,FALSE,"TOTAL AF";#N/A,#N/A,FALSE,"May A"}</definedName>
    <definedName name="junk">[13]TiemposLaplace!junk</definedName>
    <definedName name="k">{"'us_psd_m'!$B$1:$Q$58"}</definedName>
    <definedName name="K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jkk">{"'BGT2001'!$A$1:$AE$112"}</definedName>
    <definedName name="KK">#REF!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PI">{"'OBT_6M_30_6'!$S$1:$AE$53"}</definedName>
    <definedName name="LASER">[13]TiemposLaplace!LASER</definedName>
    <definedName name="LeadTime">[13]TiemposLaplace!LeadTime</definedName>
    <definedName name="leadtime1">[13]TiemposLaplace!leadtime1</definedName>
    <definedName name="LENGTH">#REF!</definedName>
    <definedName name="Library">[36]Library!$A$3:$A$77</definedName>
    <definedName name="LIDIA">{"'OBT_6M_30_6'!$S$1:$AE$53"}</definedName>
    <definedName name="LIDIA2">{"'OBT_6M_30_6'!$S$1:$AE$53"}</definedName>
    <definedName name="LIDIA3">{"'OBT_6M_30_6'!$S$1:$AE$53"}</definedName>
    <definedName name="LIDIA4">{"'OBT_6M_30_6'!$S$1:$AE$53"}</definedName>
    <definedName name="light">'[9]CD-실적'!#REF!</definedName>
    <definedName name="limcount">1</definedName>
    <definedName name="List_CF">[37]!TBL_CF[CF]</definedName>
    <definedName name="LIST1">OFFSET([28]Lists!$A$1,,,,COUNTA([28]Lists!$A$1:$AB$1))</definedName>
    <definedName name="LIST2">[28]Lists!$B:$B</definedName>
    <definedName name="liste">{#N/A,#N/A,FALSE,"SUMMARY";#N/A,#N/A,FALSE,"TOTAL AF";#N/A,#N/A,FALSE,"May A"}</definedName>
    <definedName name="ListOffset">1</definedName>
    <definedName name="lkhlklklklklklklklklklklk">{#N/A,#N/A,FALSE,"EXIT";#N/A,#N/A,FALSE,"Issues";#N/A,#N/A,FALSE,"Summary";#N/A,#N/A,FALSE,"Detail";#N/A,#N/A,FALSE,"Attendance"}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ooj">{"'BGT2001'!$A$1:$AE$112"}</definedName>
    <definedName name="Lower_Right">#REF!</definedName>
    <definedName name="lpoiuj">{"'BGT2001'!$A$1:$AE$112"}</definedName>
    <definedName name="LRP">'[38]Data Validation'!$N$2:$N$5</definedName>
    <definedName name="LTA">'[34]Process Flow Chart'!#REF!</definedName>
    <definedName name="mac">[13]TiemposLaplace!mac</definedName>
    <definedName name="Mach_DT_per_Cycle">#REF!</definedName>
    <definedName name="Mach_Qty">#REF!</definedName>
    <definedName name="Machine_CT">#REF!</definedName>
    <definedName name="Machine_DT">#REF!</definedName>
    <definedName name="Machine_Name">#REF!</definedName>
    <definedName name="Macro11" localSheetId="7">'[30]DDS correction'!Macro11</definedName>
    <definedName name="Macro11" localSheetId="4">'[30]DDS correction'!Macro11</definedName>
    <definedName name="Macro11" localSheetId="8">'[30]DDS correction'!Macro11</definedName>
    <definedName name="Macro11" localSheetId="6">'[30]DDS correction'!Macro11</definedName>
    <definedName name="Macro11">'[30]DDS correction'!Macro11</definedName>
    <definedName name="Macro12" localSheetId="7">'[30]DDS correction'!Macro12</definedName>
    <definedName name="Macro12" localSheetId="4">'[30]DDS correction'!Macro12</definedName>
    <definedName name="Macro12" localSheetId="8">'[30]DDS correction'!Macro12</definedName>
    <definedName name="Macro12" localSheetId="6">'[30]DDS correction'!Macro12</definedName>
    <definedName name="Macro12">'[30]DDS correction'!Macro12</definedName>
    <definedName name="Macro13" localSheetId="7">'[30]DDS correction'!Macro13</definedName>
    <definedName name="Macro13" localSheetId="4">'[30]DDS correction'!Macro13</definedName>
    <definedName name="Macro13" localSheetId="8">'[30]DDS correction'!Macro13</definedName>
    <definedName name="Macro13" localSheetId="6">'[30]DDS correction'!Macro13</definedName>
    <definedName name="Macro13">'[30]DDS correction'!Macro13</definedName>
    <definedName name="Macro14" localSheetId="7">'[30]DDS correction'!Macro14</definedName>
    <definedName name="Macro14" localSheetId="4">'[30]DDS correction'!Macro14</definedName>
    <definedName name="Macro14" localSheetId="8">'[30]DDS correction'!Macro14</definedName>
    <definedName name="Macro14" localSheetId="6">'[30]DDS correction'!Macro14</definedName>
    <definedName name="Macro14">'[30]DDS correction'!Macro14</definedName>
    <definedName name="manual_export">#REF!</definedName>
    <definedName name="map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MARCH">{#N/A,#N/A,FALSE,"Heading";#N/A,#N/A,FALSE,"Template"}</definedName>
    <definedName name="MATERIAL">'[17]2002 '!$M$10:$AW$170</definedName>
    <definedName name="MAU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MaxYr">'[26]FXYA$'!$Q$5</definedName>
    <definedName name="MB_Chart">#REF!</definedName>
    <definedName name="MB_Data_Input">#REF!</definedName>
    <definedName name="MB_Takt_DCT_Table">#REF!</definedName>
    <definedName name="michel">{#N/A,#N/A,FALSE,"EXIT";#N/A,#N/A,FALSE,"Issues";#N/A,#N/A,FALSE,"Summary";#N/A,#N/A,FALSE,"Detail";#N/A,#N/A,FALSE,"Attendance"}</definedName>
    <definedName name="MinYr">'[26]FXYA$'!$B$5</definedName>
    <definedName name="MM">#REF!</definedName>
    <definedName name="mmm">{"MUTATIONS OUT",#N/A,FALSE,"TABCROISE"}</definedName>
    <definedName name="ModelNames">[22]Prg!$G$2:$G$21</definedName>
    <definedName name="ModelPick">#REF!</definedName>
    <definedName name="Module_Takt_Time">#REF!</definedName>
    <definedName name="Month">[39]Prg!$T$14</definedName>
    <definedName name="MT">2204.62262</definedName>
    <definedName name="N">#REF!</definedName>
    <definedName name="NAO.NonFin">#REF!</definedName>
    <definedName name="NBNBB">{"'BGT2001'!$A$1:$AE$112"}</definedName>
    <definedName name="NCFR">{"'BGT2001'!$A$1:$AE$112"}</definedName>
    <definedName name="NegotiationDay">#REF!</definedName>
    <definedName name="New">{#N/A,#N/A,FALSE,"BS 16";#N/A,#N/A,FALSE,"BS 16-A";#N/A,#N/A,FALSE,"BS 16-B";#N/A,#N/A,FALSE,"BS 16-C";#N/A,#N/A,FALSE,"NAO BS 16";#N/A,#N/A,FALSE,"Attach A (1998 Targets)"}</definedName>
    <definedName name="Next_Increment_Machine_Qty">'[35]Incr Inv Tool'!$K$10:$K$19</definedName>
    <definedName name="NN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NNN">[13]TiemposLaplace!NNN</definedName>
    <definedName name="NonSkilledRatio">[40]Labor_Data!$B$28:$M$44</definedName>
    <definedName name="NonValueAddedTotal">'[34]Process Flow Chart'!#REF!</definedName>
    <definedName name="NumModels">[22]Prg!$G$24</definedName>
    <definedName name="O">#REF!</definedName>
    <definedName name="OA">#REF!</definedName>
    <definedName name="OIIUU">#REF!</definedName>
    <definedName name="OLIVIER">{#N/A,#N/A,FALSE,"SUMMARY";#N/A,#N/A,FALSE,"TOTAL AF";#N/A,#N/A,FALSE,"May A"}</definedName>
    <definedName name="òòààà">{"'BGT2001'!$A$1:$AE$112"}</definedName>
    <definedName name="OP">{"'OBT_6M_30_6'!$S$1:$AE$53"}</definedName>
    <definedName name="Op_L_Un">#REF!</definedName>
    <definedName name="Op_Name">#REF!</definedName>
    <definedName name="OpbuQ4_Magnesio">{"'BGT2001'!$A$1:$AE$112"}</definedName>
    <definedName name="OPERATING">{"'BGT2001'!$A$1:$AE$112"}</definedName>
    <definedName name="Operating_CT">#REF!</definedName>
    <definedName name="Ops_per_Day">#REF!</definedName>
    <definedName name="optionsegunda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OrderTable">#REF!</definedName>
    <definedName name="oscar">'[41]SW ABC GP'!$A$10:$H$176</definedName>
    <definedName name="oscar1">'[41]SW ABC GP'!$P$10:$R$176</definedName>
    <definedName name="oscar2">'[41]SW ABC GP'!#REF!</definedName>
    <definedName name="Other_OP">{"'BGT2001'!$A$1:$AE$112"}</definedName>
    <definedName name="OTHOP">{"'BGT2001'!$A$1:$AE$112"}</definedName>
    <definedName name="P">#REF!</definedName>
    <definedName name="pad">[13]TiemposLaplace!pad</definedName>
    <definedName name="PAGE_TOTAL">#REF!</definedName>
    <definedName name="page3">#REF!</definedName>
    <definedName name="page4">#REF!</definedName>
    <definedName name="PALMY">{"'BGT2001'!$A$1:$AE$112"}</definedName>
    <definedName name="PART">#REF!</definedName>
    <definedName name="Partial_Year_Multiplier">'[42]ECM Summary'!#REF!</definedName>
    <definedName name="pascal">{#N/A,#N/A,FALSE,"EXIT";#N/A,#N/A,FALSE,"Issue";#N/A,#N/A,FALSE,"Summary";#N/A,#N/A,FALSE,"Detail";#N/A,#N/A,FALSE,"Attendance"}</definedName>
    <definedName name="PAST_DUE">#REF!</definedName>
    <definedName name="Pcs_per_Cycle">#REF!</definedName>
    <definedName name="Pcs_per_Op_Cycle">#REF!</definedName>
    <definedName name="pdptest2">{#N/A,#N/A,FALSE,"EXIT";#N/A,#N/A,FALSE,"Issues";#N/A,#N/A,FALSE,"Summary";#N/A,#N/A,FALSE,"Detail";#N/A,#N/A,FALSE,"Attendance"}</definedName>
    <definedName name="PELH">{#N/A,#N/A,FALSE,"EXIT";#N/A,#N/A,FALSE,"Issue";#N/A,#N/A,FALSE,"Summary";#N/A,#N/A,FALSE,"Detail";#N/A,#N/A,FALSE,"Attendance"}</definedName>
    <definedName name="pepito">#REF!</definedName>
    <definedName name="piano">{"'OBT_6M_30_6'!$S$1:$AE$53"}</definedName>
    <definedName name="PiazzaRequest">{#N/A,#N/A,FALSE,"BS 8 96 - 95";#N/A,#N/A,FALSE,"BS 8 96 - 96";#N/A,#N/A,FALSE,"BS 8 97 - 96";#N/A,#N/A,FALSE,"BS 8 98 - 97";#N/A,#N/A,FALSE,"BS 8 99 - 98";#N/A,#N/A,FALSE,"BS 8 00 - 99"}</definedName>
    <definedName name="PIPPO">{#N/A,#N/A,FALSE,"SUMMARY";#N/A,#N/A,FALSE,"TOTAL AF";#N/A,#N/A,FALSE,"May A"}</definedName>
    <definedName name="pk">{"'OBT_6M_30_6'!$S$1:$AE$53"}</definedName>
    <definedName name="Plant1">"Kansas City"</definedName>
    <definedName name="PLUTO">{"'OBT_6M_30_6'!$S$1:$AE$53"}</definedName>
    <definedName name="POLDO">{#N/A,#N/A,FALSE,"SUMMARY";#N/A,#N/A,FALSE,"TOTAL AF";#N/A,#N/A,FALSE,"May A"}</definedName>
    <definedName name="porco">{#N/A,#N/A,FALSE,"SUMMARY";#N/A,#N/A,FALSE,"TOTAL AF";#N/A,#N/A,FALSE,"May A"}</definedName>
    <definedName name="PP">#REF!</definedName>
    <definedName name="ppa">[13]TiemposLaplace!ppa</definedName>
    <definedName name="pppp">[13]TiemposLaplace!pppp</definedName>
    <definedName name="Print_Anchor">#REF!</definedName>
    <definedName name="Print_Area_MI">#REF!</definedName>
    <definedName name="Process">[23]Prg!$BB$2:$BB$30</definedName>
    <definedName name="Process_CT">#REF!</definedName>
    <definedName name="ProcessTime">#REF!</definedName>
    <definedName name="ProcFlowChart">#REF!</definedName>
    <definedName name="PROD.STARTS">#REF!</definedName>
    <definedName name="ProdForm">#REF!</definedName>
    <definedName name="Project">#REF!</definedName>
    <definedName name="PROMEDIOSH">TRIMMEAN([43]WORK!$Z2:$AE2,2/COUNT([43]WORK!$Z2:$AE2))</definedName>
    <definedName name="PROMEDIOZF">SUM([43]WORK!$AF3:$AI3)/COUNTIF([43]WORK!$AF3:$AI3, "&gt;0")</definedName>
    <definedName name="PROMISE">#REF!</definedName>
    <definedName name="q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__Drawing_Release">#REF!</definedName>
    <definedName name="qq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">{#N/A,#N/A,TRUE,"이사님";#N/A,#N/A,TRUE,"이사님"}</definedName>
    <definedName name="qqqqqq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ryFinFF02_Check">#REF!</definedName>
    <definedName name="qryFinFF03_Check">#REF!</definedName>
    <definedName name="qryFinFF04_Check">#REF!</definedName>
    <definedName name="qryRONA">#REF!</definedName>
    <definedName name="qsadsda">{"recap",#N/A,FALSE,"1999"}</definedName>
    <definedName name="QtyMatrix">#REF!</definedName>
    <definedName name="QW" localSheetId="7">'[30]DDS correction'!QW</definedName>
    <definedName name="QW" localSheetId="4">'[30]DDS correction'!QW</definedName>
    <definedName name="QW" localSheetId="8">'[30]DDS correction'!QW</definedName>
    <definedName name="QW" localSheetId="6">'[30]DDS correction'!QW</definedName>
    <definedName name="QW">'[30]DDS correction'!QW</definedName>
    <definedName name="Rate">#REF!</definedName>
    <definedName name="Rates">[23]Mach_Rates!$C$2:$N$454</definedName>
    <definedName name="RCArea">#REF!</definedName>
    <definedName name="reach">{#N/A,#N/A,FALSE,"BS 8 96 - 95";#N/A,#N/A,FALSE,"BS 8 96 - 96";#N/A,#N/A,FALSE,"BS 8 97 - 96";#N/A,#N/A,FALSE,"BS 8 98 - 97";#N/A,#N/A,FALSE,"BS 8 99 - 98";#N/A,#N/A,FALSE,"BS 8 00 - 99"}</definedName>
    <definedName name="Recon" localSheetId="7">'[30]DDS correction'!Recon</definedName>
    <definedName name="Recon" localSheetId="4">'[30]DDS correction'!Recon</definedName>
    <definedName name="Recon" localSheetId="8">'[30]DDS correction'!Recon</definedName>
    <definedName name="Recon" localSheetId="6">'[30]DDS correction'!Recon</definedName>
    <definedName name="Recon">'[30]DDS correction'!Recon</definedName>
    <definedName name="_xlnm.Recorder">#REF!</definedName>
    <definedName name="Regional.wrn.barry.">{#N/A,#N/A,FALSE,"BS 16";#N/A,#N/A,FALSE,"BS 16-A";#N/A,#N/A,FALSE,"BS 16-B";#N/A,#N/A,FALSE,"BS 16-C";#N/A,#N/A,FALSE,"NAO BS 16";#N/A,#N/A,FALSE,"Attach A (1998 Targets)"}</definedName>
    <definedName name="RegionalCapital">{#N/A,#N/A,FALSE,"BS 16";#N/A,#N/A,FALSE,"BS 16-A";#N/A,#N/A,FALSE,"BS 16-B";#N/A,#N/A,FALSE,"BS 16-C";#N/A,#N/A,FALSE,"NAO BS 16";#N/A,#N/A,FALSE,"Attach A (1998 Targets)"}</definedName>
    <definedName name="RegionalNew">{#N/A,#N/A,FALSE,"BS 16";#N/A,#N/A,FALSE,"BS 16-A";#N/A,#N/A,FALSE,"BS 16-B";#N/A,#N/A,FALSE,"BS 16-C";#N/A,#N/A,FALSE,"NAO BS 16";#N/A,#N/A,FALSE,"Attach A (1998 Targets)"}</definedName>
    <definedName name="REQUEST">#REF!</definedName>
    <definedName name="rf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HD" localSheetId="7">'[30]DDS correction'!RHD</definedName>
    <definedName name="RHD" localSheetId="4">'[30]DDS correction'!RHD</definedName>
    <definedName name="RHD" localSheetId="8">'[30]DDS correction'!RHD</definedName>
    <definedName name="RHD" localSheetId="6">'[30]DDS correction'!RHD</definedName>
    <definedName name="RHD">'[30]DDS correction'!RHD</definedName>
    <definedName name="rimir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rimir2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rolrort">{"'BGT2001'!$A$1:$AE$112"}</definedName>
    <definedName name="row_hieght">[13]TiemposLaplace!row_hieght</definedName>
    <definedName name="RowList">#N/A</definedName>
    <definedName name="Royalty_Withhol">'[18]#REF'!#REF!</definedName>
    <definedName name="s">{"recap",#N/A,FALSE,"1999"}</definedName>
    <definedName name="sa">'[18]#REF'!#REF!</definedName>
    <definedName name="sadas">[0]!sadas</definedName>
    <definedName name="SALESVOLS">'[17]2002 '!$M$10:$X$170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F0001">#REF!</definedName>
    <definedName name="sap_K0001">#REF!</definedName>
    <definedName name="sap_K0002">#REF!</definedName>
    <definedName name="sap_K0003">#REF!</definedName>
    <definedName name="sap_K0004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Z0001_00000001">#REF!</definedName>
    <definedName name="SAPBEXdnldView">"3TCHJV77KDAFD3B87F7P2WC90"</definedName>
    <definedName name="SAPBEXhrIndnt">1</definedName>
    <definedName name="SAPBEXrevision">5</definedName>
    <definedName name="SAPBEXsysID">"PN2"</definedName>
    <definedName name="SAPBEXwbID">"3WKQ8F1VL9RS0KSEWA9I8M9Z8"</definedName>
    <definedName name="sasde">{"'BGT2001'!$A$1:$AE$112"}</definedName>
    <definedName name="SaveForm">[13]TiemposLaplace!SaveForm</definedName>
    <definedName name="scadsad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ch_Days_per_Wk">#REF!</definedName>
    <definedName name="Sch_Days_per_Yr">#REF!</definedName>
    <definedName name="Sch_Run_Time">#REF!</definedName>
    <definedName name="scope">{#N/A,#N/A,FALSE,"EXIT";#N/A,#N/A,FALSE,"Issue";#N/A,#N/A,FALSE,"Summary";#N/A,#N/A,FALSE,"Detail";#N/A,#N/A,FALSE,"Attendance"}</definedName>
    <definedName name="SD">#REF!</definedName>
    <definedName name="sdds">{#N/A,#N/A,FALSE,"SUMMARY";#N/A,#N/A,FALSE,"TOTAL AF";#N/A,#N/A,FALSE,"May A"}</definedName>
    <definedName name="sdf">{#N/A,#N/A,FALSE,"BS 8 96 - 95";#N/A,#N/A,FALSE,"BS 8 96 - 96";#N/A,#N/A,FALSE,"BS 8 97 - 96";#N/A,#N/A,FALSE,"BS 8 98 - 97";#N/A,#N/A,FALSE,"BS 8 99 - 98";#N/A,#N/A,FALSE,"BS 8 00 - 99"}</definedName>
    <definedName name="sdfsaf">{"total",#N/A,FALSE,"1999"}</definedName>
    <definedName name="sdfteseagegwe">#REF!</definedName>
    <definedName name="sdsafdsa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SecondYr">'[16]Incremental Detail'!$K$73</definedName>
    <definedName name="Select_Range">[44]Library!$A$2:$H$45</definedName>
    <definedName name="SERVICE">#REF!</definedName>
    <definedName name="sf">{#N/A,#N/A,FALSE,"BS 16";#N/A,#N/A,FALSE,"BS 16-A";#N/A,#N/A,FALSE,"BS 16-B";#N/A,#N/A,FALSE,"BS 16-C";#N/A,#N/A,FALSE,"NAO BS 16";#N/A,#N/A,FALSE,"Attach A (1998 Targets)"}</definedName>
    <definedName name="sg">{"'BGT2001'!$A$1:$AE$112"}</definedName>
    <definedName name="SitePick">'[40]Bld-A-Cost'!$G$8</definedName>
    <definedName name="SixthYr">'[16]Incremental Detail'!$S$73</definedName>
    <definedName name="SkilledRatio">[40]Labor_Data!$B$51:$M$67</definedName>
    <definedName name="Slicer_Detailed_BP_Customer__Account_Name">#N/A</definedName>
    <definedName name="Slicer_PML">#N/A</definedName>
    <definedName name="Slicer_Product_Family">#N/A</definedName>
    <definedName name="Slicer_PRODUCT_NAME_GROUP1">#N/A</definedName>
    <definedName name="Slicer_RELEASE2">#N/A</definedName>
    <definedName name="Slicer_Sales_Planning_Aggregation3">#N/A</definedName>
    <definedName name="SMT_Start1">#REF!</definedName>
    <definedName name="SMT_Start2">#REF!</definedName>
    <definedName name="SMT_Start3">#REF!</definedName>
    <definedName name="SMT_Start4">#REF!</definedName>
    <definedName name="SMT_Start5">#REF!</definedName>
    <definedName name="SMT_Start6">#REF!</definedName>
    <definedName name="SMT_Start7">#REF!</definedName>
    <definedName name="sofia">{#N/A,#N/A,FALSE,"SUMMARY";#N/A,#N/A,FALSE,"TOTAL AF";#N/A,#N/A,FALSE,"May A"}</definedName>
    <definedName name="sojdsad">{#N/A,#N/A,FALSE,"SUMMARY";#N/A,#N/A,FALSE,"TOTAL AF";#N/A,#N/A,FALSE,"May A"}</definedName>
    <definedName name="solver_adj">#REF!</definedName>
    <definedName name="solver_lin">0</definedName>
    <definedName name="solver_num">0</definedName>
    <definedName name="solver_opt">'[12]NYTO-model'!$E$845</definedName>
    <definedName name="solver_typ">1</definedName>
    <definedName name="solver_val">0</definedName>
    <definedName name="sortarea">[45]V_Lookup!#REF!</definedName>
    <definedName name="SpecialPrice">#REF!</definedName>
    <definedName name="SRT_GTE3">#REF!</definedName>
    <definedName name="SRT_LT3">#REF!</definedName>
    <definedName name="SRT_per_Day">#REF!</definedName>
    <definedName name="SS" localSheetId="7">'[30]DDS correction'!SS</definedName>
    <definedName name="SS" localSheetId="4">'[30]DDS correction'!SS</definedName>
    <definedName name="SS" localSheetId="8">'[30]DDS correction'!SS</definedName>
    <definedName name="SS" localSheetId="6">'[30]DDS correction'!SS</definedName>
    <definedName name="SS">'[30]DDS correction'!SS</definedName>
    <definedName name="sss">{"Plan to Plan, 2001 &amp; 2002",#N/A,FALSE,"blank"}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7">'[30]DDS correction'!SSSS</definedName>
    <definedName name="SSSS" localSheetId="4">'[30]DDS correction'!SSSS</definedName>
    <definedName name="SSSS" localSheetId="8">'[30]DDS correction'!SSSS</definedName>
    <definedName name="SSSS" localSheetId="6">'[30]DDS correction'!SSSS</definedName>
    <definedName name="SSSS">'[30]DDS correction'!SSSS</definedName>
    <definedName name="ssssss">{"'BGT2001'!$A$1:$AE$112"}</definedName>
    <definedName name="StdClmn">'[16]Incremental Detail'!$AA:$AB</definedName>
    <definedName name="StdRow">'[16]Incremental Detail'!$8:$8</definedName>
    <definedName name="StopRow">[46]BOM!$B$987</definedName>
    <definedName name="submitted">#REF!</definedName>
    <definedName name="Sum_Anchor">#REF!</definedName>
    <definedName name="Sum_Left">#REF!</definedName>
    <definedName name="Sum_Right">#REF!</definedName>
    <definedName name="Sys_Cap_CT">#REF!</definedName>
    <definedName name="System_CT">#REF!</definedName>
    <definedName name="System_Downtime">#REF!</definedName>
    <definedName name="System_Level">#REF!</definedName>
    <definedName name="T">2000</definedName>
    <definedName name="T1\">#REF!</definedName>
    <definedName name="TABLE">#REF!</definedName>
    <definedName name="Takt_Range">#REF!</definedName>
    <definedName name="Takt_Range_per_Cell">#REF!</definedName>
    <definedName name="Takt_Table">#REF!</definedName>
    <definedName name="Takt_Time">#REF!</definedName>
    <definedName name="Takt_Time_on_MB">#REF!</definedName>
    <definedName name="Takt_Time_on_MB2">'[47]Machine Balance M3½'!$T$5</definedName>
    <definedName name="Takt_Time_per_Module">#REF!</definedName>
    <definedName name="target">[13]TiemposLaplace!target</definedName>
    <definedName name="tbl_ProdInfo">#REF!</definedName>
    <definedName name="tdioer">{"'BGT2001'!$A$1:$AE$112"}</definedName>
    <definedName name="TEMP">[13]TiemposLaplace!TEMP</definedName>
    <definedName name="test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TEST0">#REF!</definedName>
    <definedName name="test1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TEST10">#REF!</definedName>
    <definedName name="TEST11">#REF!</definedName>
    <definedName name="TEST12">#REF!</definedName>
    <definedName name="TEST13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hermal">{#N/A,#N/A,FALSE,"SUMMARY";#N/A,#N/A,FALSE,"TOTAL AF";#N/A,#N/A,FALSE,"May A"}</definedName>
    <definedName name="ThirdYr">'[16]Incremental Detail'!$M$73</definedName>
    <definedName name="Time">#REF!</definedName>
    <definedName name="Title">#REF!</definedName>
    <definedName name="TON">2000</definedName>
    <definedName name="Tooling">#REF!</definedName>
    <definedName name="TopRow">#REF!</definedName>
    <definedName name="Total_Available_Minutes_Day">#REF!</definedName>
    <definedName name="Total_Equip_Invest">#REF!</definedName>
    <definedName name="Total_Site_Hours">#REF!</definedName>
    <definedName name="TotalLeadTime">#REF!</definedName>
    <definedName name="TRUCK">#N/A</definedName>
    <definedName name="U_CELL">#REF!</definedName>
    <definedName name="unitspbp">'[17]2002 '!$DF$8:$DM$170</definedName>
    <definedName name="uokgf">{"'BGT2001'!$A$1:$AE$112"}</definedName>
    <definedName name="uortio">{"'BGT2001'!$A$1:$AE$112"}</definedName>
    <definedName name="UPDATE_SCALE">[13]TiemposLaplace!UPDATE_SCALE</definedName>
    <definedName name="USB">[13]TiemposLaplace!USB</definedName>
    <definedName name="utilo.version">3</definedName>
    <definedName name="ValueAddedTotal">'[34]Process Flow Chart'!#REF!</definedName>
    <definedName name="VAR_2YP">#REF!</definedName>
    <definedName name="VAR_2YP_PREV">#REF!</definedName>
    <definedName name="VAR_BBP">#REF!</definedName>
    <definedName name="VAR_CTM">[28]Monthly_View!$Q$2</definedName>
    <definedName name="VAR_MONTH">#REF!</definedName>
    <definedName name="VAR_PROG">[28]Monthly_View!$Q$4</definedName>
    <definedName name="VAR_QUARTER">'[28]OVERVIEW Q'!#REF!</definedName>
    <definedName name="VAR_RELEASE">#REF!</definedName>
    <definedName name="VAR_Y_EX">#REF!</definedName>
    <definedName name="VAR_YEAR">#REF!</definedName>
    <definedName name="vhul">{"'BGT2001'!$A$1:$AE$112"}</definedName>
    <definedName name="Vol_Achieved">#REF!</definedName>
    <definedName name="Vol_Table">'[48]Initial Analisis'!$F$29:$L$30</definedName>
    <definedName name="VOLSALES">'[17]2002 '!$Q$10:$X$170</definedName>
    <definedName name="volssales">'[17]2002 '!$CP$8:$DD$170</definedName>
    <definedName name="vsdhkfhlds">{#N/A,#N/A,FALSE,"SUMMARY";#N/A,#N/A,FALSE,"TOTAL AF";#N/A,#N/A,FALSE,"May A"}</definedName>
    <definedName name="w">{#N/A,#N/A,FALSE,"BS 8 96 - 95";#N/A,#N/A,FALSE,"BS 8 96 - 96";#N/A,#N/A,FALSE,"BS 8 97 - 96";#N/A,#N/A,FALSE,"BS 8 98 - 97";#N/A,#N/A,FALSE,"BS 8 99 - 98";#N/A,#N/A,FALSE,"BS 8 00 - 99"}</definedName>
    <definedName name="W.SHOP" localSheetId="7">'[30]DDS correction'!W.SHOP</definedName>
    <definedName name="W.SHOP" localSheetId="4">'[30]DDS correction'!W.SHOP</definedName>
    <definedName name="W.SHOP" localSheetId="8">'[30]DDS correction'!W.SHOP</definedName>
    <definedName name="W.SHOP" localSheetId="6">'[30]DDS correction'!W.SHOP</definedName>
    <definedName name="W.SHOP">'[30]DDS correction'!W.SHOP</definedName>
    <definedName name="wbs">{#N/A,#N/A,FALSE,"Aging Summary";#N/A,#N/A,FALSE,"Ratio Analysis";#N/A,#N/A,FALSE,"Test 120 Day Accts";#N/A,#N/A,FALSE,"Tickmarks"}</definedName>
    <definedName name="WE">{#N/A,#N/A,FALSE,"EXIT";#N/A,#N/A,FALSE,"Issues";#N/A,#N/A,FALSE,"Summary";#N/A,#N/A,FALSE,"Detail";#N/A,#N/A,FALSE,"Attendance"}</definedName>
    <definedName name="wee">{#N/A,#N/A,FALSE,"EXIT";#N/A,#N/A,FALSE,"Issues";#N/A,#N/A,FALSE,"Summary";#N/A,#N/A,FALSE,"Detail";#N/A,#N/A,FALSE,"Team Commit";#N/A,#N/A,FALSE,"Attendance"}</definedName>
    <definedName name="wefwe">#REF!</definedName>
    <definedName name="wert">{#N/A,#N/A,FALSE,"EXIT";#N/A,#N/A,FALSE,"Issues";#N/A,#N/A,FALSE,"Summary";#N/A,#N/A,FALSE,"Detail";#N/A,#N/A,FALSE,"Attendance"}</definedName>
    <definedName name="wghatt">{"'BGT2001'!$A$1:$AE$112"}</definedName>
    <definedName name="WK_1">#REF!</definedName>
    <definedName name="WK_2">#REF!</definedName>
    <definedName name="WK_3">#REF!</definedName>
    <definedName name="Wks_per_Yr">#REF!</definedName>
    <definedName name="Wks_per_Yr_Typical">#REF!</definedName>
    <definedName name="wrn">{"MES_DOLAR",#N/A,FALSE,"TOTAL";"AÑO_DOLAR",#N/A,FALSE,"TOTAL";"MES",#N/A,FALSE,"TOTAL";"AÑO",#N/A,FALSE,"TOTAL"}</definedName>
    <definedName name="wrn.Aging._.and._.Trend._.Analysis.">{#N/A,#N/A,FALSE,"Aging Summary";#N/A,#N/A,FALSE,"Ratio Analysis";#N/A,#N/A,FALSE,"Test 120 Day Accts";#N/A,#N/A,FALSE,"Tickmarks"}</definedName>
    <definedName name="wrn.All._.01v00.">{#N/A,#N/A,TRUE,"Delphi-S 01v00";#N/A,#N/A,TRUE,"Patch 01v00";#N/A,#N/A,TRUE,"Total US 01v00";#N/A,#N/A,TRUE,"US 01v00";#N/A,#N/A,TRUE,"XXX US 01v00";#N/A,#N/A,TRUE,"Other US 01v00";#N/A,#N/A,TRUE,"Total M 01v00";#N/A,#N/A,TRUE,"65 01v00";#N/A,#N/A,TRUE,"66 01v00";#N/A,#N/A,TRUE,"XXX M 01v00";#N/A,#N/A,TRUE,"Other M 01v00";#N/A,#N/A,TRUE,"Total SA 01v00";#N/A,#N/A,TRUE,"PAB 01v00";#N/A,#N/A,TRUE,"XXX SA 01v00";#N/A,#N/A,TRUE,"Other SA 01v00";#N/A,#N/A,TRUE,"Total E 01v00";#N/A,#N/A,TRUE,"CS 01v00";#N/A,#N/A,TRUE,"LI 01v00";#N/A,#N/A,TRUE,"SU 01v00";#N/A,#N/A,TRUE,"SF 01v00";#N/A,#N/A,TRUE,"TP 01v00";#N/A,#N/A,TRUE,"XXX E 01v00";#N/A,#N/A,TRUE,"Other E 01v00";#N/A,#N/A,TRUE,"Total AP 01v00";#N/A,#N/A,TRUE,"BI 01v00";#N/A,#N/A,TRUE,"MA 01v00";#N/A,#N/A,TRUE,"HC 01v00";#N/A,#N/A,TRUE,"XC 01v00";#N/A,#N/A,TRUE,"XXX AP 01v00";#N/A,#N/A,TRUE,"Other AP 01v00"}</definedName>
    <definedName name="wrn.All._.02v01.">{#N/A,#N/A,FALSE,"Delphi-S 02v01";#N/A,#N/A,FALSE,"Patch 02v01";#N/A,#N/A,FALSE,"Total US 02v01";#N/A,#N/A,FALSE,"US 02v01";#N/A,#N/A,FALSE,"XXX US 02v01";#N/A,#N/A,FALSE,"Other US 02v01";#N/A,#N/A,FALSE,"Total M 02v01";#N/A,#N/A,FALSE,"65 02v01";#N/A,#N/A,FALSE,"66 02v01";#N/A,#N/A,FALSE,"XXX M 02v01";#N/A,#N/A,FALSE,"Other M 02v01";#N/A,#N/A,FALSE,"Total SA 02v01";#N/A,#N/A,FALSE,"PAB 02v01";#N/A,#N/A,FALSE,"XXX SA 02v01";#N/A,#N/A,FALSE,"Other SA 02v01";#N/A,#N/A,FALSE,"Total E 02v01";#N/A,#N/A,FALSE,"CS 02v01";#N/A,#N/A,FALSE,"LI 02v01";#N/A,#N/A,FALSE,"SU 02v01";#N/A,#N/A,FALSE,"SF 02v01";#N/A,#N/A,FALSE,"TP 02v01";#N/A,#N/A,FALSE,"XXX E 02v01";#N/A,#N/A,FALSE,"Other E 02v01";#N/A,#N/A,FALSE,"Total AP 02v01";#N/A,#N/A,FALSE,"BI 02v01";#N/A,#N/A,FALSE,"MA 02v01";#N/A,#N/A,FALSE,"HC 02v01";#N/A,#N/A,FALSE,"XC 02v01";#N/A,#N/A,FALSE,"XXX AP 02v01";#N/A,#N/A,FALSE,"Other AP 02v01"}</definedName>
    <definedName name="wrn.All._.03v02.">{#N/A,#N/A,FALSE,"Delphi-S 03v02";#N/A,#N/A,FALSE,"Patch 03v02";#N/A,#N/A,FALSE,"Total US 03v02";#N/A,#N/A,FALSE,"US 03v02";#N/A,#N/A,FALSE,"XXX US 03v02";#N/A,#N/A,FALSE,"Other US 03v02";#N/A,#N/A,FALSE,"Total M 03v02";#N/A,#N/A,FALSE,"65 03v02";#N/A,#N/A,FALSE,"66 03v02";#N/A,#N/A,FALSE,"XXX M 03v02";#N/A,#N/A,FALSE,"Other M 03v02";#N/A,#N/A,FALSE,"Total SA 03v02";#N/A,#N/A,FALSE,"PAB 03v02";#N/A,#N/A,FALSE,"XXX SA 03v02";#N/A,#N/A,FALSE,"Other SA 03v02";#N/A,#N/A,FALSE,"Total E 03v02";#N/A,#N/A,FALSE,"CS 03v02";#N/A,#N/A,FALSE,"LI 03v02";#N/A,#N/A,FALSE,"SU 03v02";#N/A,#N/A,FALSE,"SF 03v02";#N/A,#N/A,FALSE,"TP 03v02";#N/A,#N/A,FALSE,"XXX E 03v02";#N/A,#N/A,FALSE,"Other E 03v02";#N/A,#N/A,FALSE,"Total AP 03v02";#N/A,#N/A,FALSE,"BI 03v02";#N/A,#N/A,FALSE,"MA 03v02";#N/A,#N/A,FALSE,"HC 03v02";#N/A,#N/A,FALSE,"XC 03v02";#N/A,#N/A,FALSE,"XXX AP 03v02";#N/A,#N/A,FALSE,"Other AP 03v02"}</definedName>
    <definedName name="wrn.barry.">{#N/A,#N/A,FALSE,"BS 16";#N/A,#N/A,FALSE,"BS 16-A";#N/A,#N/A,FALSE,"BS 16-B";#N/A,#N/A,FALSE,"BS 16-C";#N/A,#N/A,FALSE,"NAO BS 16";#N/A,#N/A,FALSE,"Attach A (1998 Targets)"}</definedName>
    <definedName name="wrn.barry.new">{#N/A,#N/A,FALSE,"BS 16";#N/A,#N/A,FALSE,"BS 16-A";#N/A,#N/A,FALSE,"BS 16-B";#N/A,#N/A,FALSE,"BS 16-C";#N/A,#N/A,FALSE,"NAO BS 16";#N/A,#N/A,FALSE,"Attach A (1998 Targets)"}</definedName>
    <definedName name="wrn.barry1">{#N/A,#N/A,FALSE,"BS 16";#N/A,#N/A,FALSE,"BS 16-A";#N/A,#N/A,FALSE,"BS 16-B";#N/A,#N/A,FALSE,"BS 16-C";#N/A,#N/A,FALSE,"NAO BS 16";#N/A,#N/A,FALSE,"Attach A (1998 Targets)"}</definedName>
    <definedName name="wrn.Basic._.Report.">{#N/A,#N/A,FALSE,"New Depr Sch-150% DB";#N/A,#N/A,FALSE,"Cash Flows RLP";#N/A,#N/A,FALSE,"IRR";#N/A,#N/A,FALSE,"Proforma IS";#N/A,#N/A,FALSE,"Assumptions"}</definedName>
    <definedName name="wrn.Big._.Four._.Countries.">{#N/A,#N/A,FALSE,"Japan";#N/A,#N/A,FALSE,"Taiwan";#N/A,#N/A,FALSE,"Thailand";#N/A,#N/A,FALSE,"Australia"}</definedName>
    <definedName name="wrn.both.">{"total",#N/A,FALSE,"1999";"recap",#N/A,FALSE,"1999"}</definedName>
    <definedName name="wrn.Budget._.Detail.">{"Budget Detail",#N/A,FALSE,"Template"}</definedName>
    <definedName name="wrn.Budget._.Summary.">{"Budget Summary",#N/A,FALSE,"Template"}</definedName>
    <definedName name="wrn.CAforms.">{#N/A,#N/A,FALSE,"EXIT";#N/A,#N/A,FALSE,"Issues";#N/A,#N/A,FALSE,"Summary";#N/A,#N/A,FALSE,"Detail";#N/A,#N/A,FALSE,"Team Commit";#N/A,#N/A,FALSE,"Attendance"}</definedName>
    <definedName name="wrn.CAforms..">{#N/A,#N/A,FALSE,"EXIT";#N/A,#N/A,FALSE,"Issues";#N/A,#N/A,FALSE,"Summary";#N/A,#N/A,FALSE,"Detail";#N/A,#N/A,FALSE,"Team Commit";#N/A,#N/A,FALSE,"Attendance"}</definedName>
    <definedName name="wrn.CAPITAL.">{#N/A,#N/A,FALSE,"SUMMARY";#N/A,#N/A,FALSE,"TOTAL AF";#N/A,#N/A,FALSE,"May A"}</definedName>
    <definedName name="wrn.cdforms">{#N/A,#N/A,FALSE,"EXIT";#N/A,#N/A,FALSE,"Issue";#N/A,#N/A,FALSE,"Summary";#N/A,#N/A,FALSE,"Detail";#N/A,#N/A,FALSE,"Attendance"}</definedName>
    <definedName name="wrn.CDforms.">{#N/A,#N/A,FALSE,"EXIT";#N/A,#N/A,FALSE,"Issue";#N/A,#N/A,FALSE,"Summary";#N/A,#N/A,FALSE,"Detail";#N/A,#N/A,FALSE,"Attendance"}</definedName>
    <definedName name="wrn.CIforms.">{#N/A,#N/A,FALSE,"EXIT";#N/A,#N/A,FALSE,"Issue";#N/A,#N/A,FALSE,"Summary";#N/A,#N/A,FALSE,"Detail";#N/A,#N/A,FALSE,"Attendance"}</definedName>
    <definedName name="wrn.CKD._.Price._.Build._.Up.">{#N/A,#N/A,FALSE,"CKD Price Build Up"}</definedName>
    <definedName name="wrn.clientcopy.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>{#N/A,#N/A,FALSE,"Assumptions";#N/A,#N/A,FALSE,"Proforma IS";#N/A,#N/A,FALSE,"Cash Flows RLP";#N/A,#N/A,FALSE,"IRR";#N/A,#N/A,FALSE,"New Depr Sch-150% DB";#N/A,#N/A,FALSE,"Comments"}</definedName>
    <definedName name="wrn.Contribution._.Margin.">{#N/A,#N/A,FALSE,"Contr. Margin"}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agnostics.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rects._.lucas.">{"DIRECTS LUCAS ACT/FOR",#N/A,FALSE,"TABCROISE";"DIRECTS LUCAS INTERIMAIRES AU 17/05",#N/A,FALSE,"TABCROISE"}</definedName>
    <definedName name="wrn.don.">{"page1",#N/A,FALSE,"new worksheet-E";"page2",#N/A,FALSE,"new worksheet-E";"page3",#N/A,FALSE,"new worksheet-E";"page4",#N/A,FALSE,"new worksheet-E";"page5",#N/A,FALSE,"new worksheet-E";"page6",#N/A,FALSE,"new worksheet-E";"page7",#N/A,FALSE,"new worksheet-E"}</definedName>
    <definedName name="wrn.FAforms.">{#N/A,#N/A,FALSE,"EXIT";#N/A,#N/A,FALSE,"Issues";#N/A,#N/A,FALSE,"Summary";#N/A,#N/A,FALSE,"Detail";#N/A,#N/A,FALSE,"Attendance"}</definedName>
    <definedName name="wrn.filecopy.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ull._.Package._.Print.">{#N/A,"429k Vol",FALSE,"Estimate Summary";#N/A,"750k Vol",FALSE,"Estimate Summary";#N/A,"1,000k Vol",FALSE,"Estimate Summary";#N/A,"1,250K Vol",FALSE,"Estimate Summary";#N/A,"1500k Vol",FALSE,"Estimate Summary";#N/A,"1750k Vol",FALSE,"Estimate Summary";#N/A,"2,000k Vol",FALSE,"Estimate Summary";#N/A,"2,250k Vol",FALSE,"Estimate Summary";#N/A,"2500K Vol",FALSE,"Estimate Summary";#N/A,"Ramp Up Vol.",FALSE,"Estimate Summary"}</definedName>
    <definedName name="wrn.Graphs.">{"Frequency Graph",#N/A,FALSE,"Trend";"Loss Cost Graph",#N/A,FALSE,"Trend";"Severity Trend Graph",#N/A,FALSE,"Trend"}</definedName>
    <definedName name="wrn.Graphs2">{"Frequency Graph",#N/A,FALSE,"Trend";"Loss Cost Graph",#N/A,FALSE,"Trend";"Severity Trend Graph",#N/A,FALSE,"Trend"}</definedName>
    <definedName name="wrn.Interpolations.">{"Reported Interpolated Dev Factors",#N/A,FALSE,"Interpolation";"Paid Interpolated Dev Factors",#N/A,FALSE,"Interpolation";"Reported Claim Interpolated Dev Factors",#N/A,FALSE,"Interpolation"}</definedName>
    <definedName name="wrn.IPC._.Fits.">{"Reported Loss Inverse Power Curve",#N/A,FALSE,"IPC";"Paid Inverse Power Curve",#N/A,FALSE,"IPC";"Reported Claim Inverse Power Curve",#N/A,FALSE,"IPC"}</definedName>
    <definedName name="wrn.MEET.">{"PAIDLOSS",#N/A,FALSE,"PAIDLOSS";"INCLOSS",#N/A,FALSE,"INCLOSS";"pdcts",#N/A,FALSE,"PAIDCTS";"INCCTS",#N/A,FALSE,"INCCTS";"AVGCASE",#N/A,FALSE,"AVG CASE";"SUM",#N/A,FALSE,"SUM STAT";"UNPAID",#N/A,FALSE,"AVG UNPD 2"}</definedName>
    <definedName name="wrn.Methods.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UTATIONS._.OUT.">{"MUTATIONS OUT",#N/A,FALSE,"TABCROISE"}</definedName>
    <definedName name="wrn.PAforms.">{#N/A,#N/A,FALSE,"EXIT";#N/A,#N/A,FALSE,"Issues";#N/A,#N/A,FALSE,"Summary";#N/A,#N/A,FALSE,"Detail";#N/A,#N/A,FALSE,"Attendance"}</definedName>
    <definedName name="wrn.paul.">{#N/A,#N/A,FALSE,"Heading";#N/A,#N/A,FALSE,"Template"}</definedName>
    <definedName name="wrn.per._.area.">{#N/A,#N/A,FALSE,"HC Breakdown"}</definedName>
    <definedName name="wrn.Plan._.to._.Plan._.01._.02.">{"Plan to Plan, 2001 &amp; 2002",#N/A,FALSE,"blank"}</definedName>
    <definedName name="wrn.PRESUPUESTO.">{#N/A,#N/A,FALSE,"ALLOC 1";#N/A,#N/A,FALSE,"ALLOC. 2";#N/A,#N/A,FALSE,"ALLOC FINAL"}</definedName>
    <definedName name="wrn.PRINT.">{#N/A,#N/A,FALSE,"BS 8 96 - 95";#N/A,#N/A,FALSE,"BS 8 96 - 96";#N/A,#N/A,FALSE,"BS 8 97 - 96";#N/A,#N/A,FALSE,"BS 8 98 - 97";#N/A,#N/A,FALSE,"BS 8 99 - 98";#N/A,#N/A,FALSE,"BS 8 00 - 99"}</definedName>
    <definedName name="wrn.Product._.Profit._.and._.Loss.">{"pprogram",#N/A,FALSE,"Program";"ptotal",#N/A,FALSE,"Program";"pone",#N/A,FALSE,"Program";"ptwo",#N/A,FALSE,"Program";"pthree",#N/A,FALSE,"Program";"pfour",#N/A,FALSE,"Program";"pfive",#N/A,FALSE,"Program";"psix",#N/A,FALSE,"Program";"pseven",#N/A,FALSE,"Program";"peight",#N/A,FALSE,"Program";"pnine",#N/A,FALSE,"Program";"pten",#N/A,FALSE,"Program";"peleven",#N/A,FALSE,"Program";"ptwelve",#N/A,FALSE,"Program";"pthirteen",#N/A,FALSE,"Program";"pfourteen",#N/A,FALSE,"Program"}</definedName>
    <definedName name="wrn.PROJ.">{"total",#N/A,FALSE,"PROJ2050"}</definedName>
    <definedName name="wrn.recap.">{"recap",#N/A,FALSE,"1999"}</definedName>
    <definedName name="wrn.Region._.01v00.">{#N/A,#N/A,FALSE,"Delphi-S 01v00";#N/A,#N/A,FALSE,"Patch 01v00";#N/A,#N/A,FALSE,"Total US 01v00";#N/A,#N/A,FALSE,"Total M 01v00";#N/A,#N/A,FALSE,"Total SA 01v00";#N/A,#N/A,FALSE,"Total E 01v00";#N/A,#N/A,FALSE,"Total AP 01v00"}</definedName>
    <definedName name="wrn.Region._.02v01.">{#N/A,#N/A,FALSE,"Delphi-S 02v01";#N/A,#N/A,FALSE,"Patch 02v01";#N/A,#N/A,FALSE,"Total US 02v01";#N/A,#N/A,FALSE,"Total M 02v01";#N/A,#N/A,FALSE,"Total SA 02v01";#N/A,#N/A,FALSE,"Total E 02v01";#N/A,#N/A,FALSE,"Total AP 02v01"}</definedName>
    <definedName name="wrn.Region._.03v02.">{#N/A,#N/A,FALSE,"Delphi-S 03v02";#N/A,#N/A,FALSE,"Patch 03v02";#N/A,#N/A,FALSE,"Total US 03v02";#N/A,#N/A,FALSE,"Total M 03v02";#N/A,#N/A,FALSE,"Total SA 03v02";#N/A,#N/A,FALSE,"Total E 03v02";#N/A,#N/A,FALSE,"Total AP 03v02"}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vs.">{"Base_rev",#N/A,FALSE,"Proj_IS_Base";"Projrev",#N/A,FALSE,"Proj_IS_wOTLC";"Delta",#N/A,FALSE,"Delta Rev_PV"}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un._.Rate._.Report._.in._.Local.">{"Europe - Cadiz-local",#N/A,FALSE,"Europe";"Cadiz 2001 - Local",#N/A,FALSE,"Europe";"Cadiz - 2002 - local",#N/A,FALSE,"Europe";"Europe - Livorno Local",#N/A,FALSE,"Europe";"Livorno - 2001 - Local",#N/A,FALSE,"Europe";"Livorno - 2002 - Local",#N/A,FALSE,"Europe";"Europe - Southampton - local",#N/A,FALSE,"Europe";"Southampton - 2001 - Local",#N/A,FALSE,"Europe";"Southampton - 2002 - Local",#N/A,FALSE,"Europe";"Europe - Strausbourg - Local",#N/A,FALSE,"Europe";"Stg - 2001 - Local",#N/A,FALSE,"Europe";"stg - 2002 - local",#N/A,FALSE,"Europe";"Europe - Tychy - Local",#N/A,FALSE,"Europe";"Tychy - 2001 - local",#N/A,FALSE,"Europe";"Tychy - 2002 - Local",#N/A,FALSE,"Europe"}</definedName>
    <definedName name="wrn.Run._.Rate._.Report._.in._.USD.">{"Europe - Total",#N/A,FALSE,"Europe";"Europe - Cadiz",#N/A,FALSE,"Europe";"Cadiz - 2001 - USD",#N/A,FALSE,"Europe";"Cadiz - 2002 - USD",#N/A,FALSE,"Europe";"Europe - Livorno",#N/A,FALSE,"Europe";"Livorno - 2001 - USD",#N/A,FALSE,"Europe";"Livorno - 2002 - USD",#N/A,FALSE,"Europe";"Europe - Southampton",#N/A,FALSE,"Europe";"Southampton - 2001 -USD",#N/A,FALSE,"Europe";"Southampton - 2002 - USD",#N/A,FALSE,"Europe";"Europe - Strausbourg",#N/A,FALSE,"Europe";"stg - 2001 -USD",#N/A,FALSE,"Europe";"stg - 2002 - USD",#N/A,FALSE,"Europe";"Europe - Tych",#N/A,FALSE,"Europe";"Tychy - 2001 - USD",#N/A,FALSE,"Europe";"Tychy - 2002 - USD",#N/A,FALSE,"Europe"}</definedName>
    <definedName name="wrn.Stampa_dati.">{#N/A,#N/A,FALSE,"DATI_VOL";#N/A,#N/A,FALSE,"DATI"}</definedName>
    <definedName name="wrn.Stampa_moduli.">{#N/A,#N/A,FALSE,"FORM_TO1";#N/A,#N/A,FALSE,"TO1_A_BIS";#N/A,#N/A,FALSE,"TO1_A";#N/A,#N/A,FALSE,"TO1D";#N/A,#N/A,FALSE,"TO1B";#N/A,#N/A,FALSE,"ALL. 2";#N/A,#N/A,FALSE,"TO1E";#N/A,#N/A,FALSE,"TO1B2";#N/A,#N/A,FALSE,"TO1B1";#N/A,#N/A,FALSE,"TO1C"}</definedName>
    <definedName name="wrn.Stampa_supporti.">{#N/A,#N/A,FALSE,"TO1_DETT";#N/A,#N/A,FALSE,"EFFICIENZE";#N/A,#N/A,FALSE,"ANAL. AUX"}</definedName>
    <definedName name="wrn.STUDY.">{#N/A,#N/A,TRUE,"COVER SHEET";#N/A,#N/A,TRUE,"STUDY SUMMARY";#N/A,#N/A,TRUE,"ACT BREAKDOWN"}</definedName>
    <definedName name="wrn.sum.">{"Opsys",#N/A,FALSE,"NPV_OPsys";"NT",#N/A,FALSE,"NPV_NT";"DevP",#N/A,FALSE,"NPV_DevPdt";"Office",#N/A,FALSE,"NPV_Office"}</definedName>
    <definedName name="wrn.Summary.">{"Summary",#N/A,FALSE,"Summary";"Summary Diagnotics",#N/A,FALSE,"Summary"}</definedName>
    <definedName name="wrn.Summary._.and._.Detail.">{"Budget Summary",#N/A,FALSE,"Template";"Budget Detail",#N/A,FALSE,"Template"}</definedName>
    <definedName name="wrn.SUPP.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ODOS.">{"MES_DOLAR",#N/A,FALSE,"TOTAL";"AÑO_DOLAR",#N/A,FALSE,"TOTAL";"MES",#N/A,FALSE,"TOTAL";"AÑO",#N/A,FALSE,"TOTAL"}</definedName>
    <definedName name="wrn.total.">{"total",#N/A,FALSE,"1999"}</definedName>
    <definedName name="wrn.Trends.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ngles.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Valuation._.Worksheets.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Year._.to._.Year._.Comparisons.">{"Year to Year Comparisons",#N/A,FALSE,"blank"}</definedName>
    <definedName name="wrn.이사님.">{#N/A,#N/A,TRUE,"이사님";#N/A,#N/A,TRUE,"이사님"}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>{#N/A,#N/A,TRUE,"일정"}</definedName>
    <definedName name="wrn1.supp.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R">{#N/A,#N/A,FALSE,"EXIT";#N/A,#N/A,FALSE,"Issues";#N/A,#N/A,FALSE,"Summary";#N/A,#N/A,FALSE,"Detail";#N/A,#N/A,FALSE,"Attendance"}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_Wks">#REF!</definedName>
    <definedName name="xfyjkxj">{"'BGT2001'!$A$1:$AE$112"}</definedName>
    <definedName name="xjl.i">{"'BGT2001'!$A$1:$AE$112"}</definedName>
    <definedName name="xScore">#N/A</definedName>
    <definedName name="xx">{#N/A,#N/A,FALSE,"BS 16";#N/A,#N/A,FALSE,"BS 16-A";#N/A,#N/A,FALSE,"BS 16-B";#N/A,#N/A,FALSE,"BS 16-C";#N/A,#N/A,FALSE,"NAO BS 16";#N/A,#N/A,FALSE,"Attach A (1998 Targets)"}</definedName>
    <definedName name="xxx">[13]TiemposLaplace!xxx</definedName>
    <definedName name="xxxx">[13]TiemposLaplace!xxxx</definedName>
    <definedName name="XZS">{"'BGT2001'!$A$1:$AE$112"}</definedName>
    <definedName name="Y">#REF!</definedName>
    <definedName name="Year">#REF!</definedName>
    <definedName name="YearPick">'[39]Bld-A-Cost'!$H$2</definedName>
    <definedName name="yo">[13]TiemposLaplace!yo</definedName>
    <definedName name="YrType">#REF!</definedName>
    <definedName name="Z">[0]!Z</definedName>
    <definedName name="Z_38EF9D7C_64D9_4561_81CC_80328631D9BC_.wvu.Cols">#REF!,#REF!</definedName>
    <definedName name="Z_416007BD_3D15_4C56_9824_25ECD20153F4_.wvu.Cols">#REF!,#REF!</definedName>
    <definedName name="Z_576B75B7_FD40_4A73_8B3B_4F909ABACCE0_.wvu.Cols">#REF!,#REF!</definedName>
    <definedName name="Z_576B75B7_FD40_4A73_8B3B_4F909ABACCE0_.wvu.Rows">#REF!</definedName>
    <definedName name="Z_7619441A_C0DB_401A_AF0B_DEA9CCF3F827_.wvu.Cols">#REF!,#REF!</definedName>
    <definedName name="Z_7619441A_C0DB_401A_AF0B_DEA9CCF3F827_.wvu.Rows">#REF!</definedName>
    <definedName name="Z_F2FE59E0_A907_4FB3_898C_5312B2FC5BC1_.wvu.Cols">#REF!,#REF!</definedName>
    <definedName name="Z_F2FE59E0_A907_4FB3_898C_5312B2FC5BC1_.wvu.Rows">#REF!</definedName>
    <definedName name="zx">{"'BGT2001'!$A$1:$AE$112"}</definedName>
    <definedName name="zzz">'[1]CD-실적'!#REF!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>'[1]CD-실적'!#REF!</definedName>
    <definedName name="개발차종" localSheetId="7">'[30]DDS correction'!개발차종</definedName>
    <definedName name="개발차종" localSheetId="4">'[30]DDS correction'!개발차종</definedName>
    <definedName name="개발차종" localSheetId="8">'[30]DDS correction'!개발차종</definedName>
    <definedName name="개발차종" localSheetId="6">'[30]DDS correction'!개발차종</definedName>
    <definedName name="개발차종">'[30]DDS correction'!개발차종</definedName>
    <definedName name="권" localSheetId="7">'[30]DDS correction'!권</definedName>
    <definedName name="권" localSheetId="4">'[30]DDS correction'!권</definedName>
    <definedName name="권" localSheetId="8">'[30]DDS correction'!권</definedName>
    <definedName name="권" localSheetId="6">'[30]DDS correction'!권</definedName>
    <definedName name="권">'[30]DDS correction'!권</definedName>
    <definedName name="권종원" localSheetId="7">'[30]DDS correction'!권종원</definedName>
    <definedName name="권종원" localSheetId="4">'[30]DDS correction'!권종원</definedName>
    <definedName name="권종원" localSheetId="8">'[30]DDS correction'!권종원</definedName>
    <definedName name="권종원" localSheetId="6">'[30]DDS correction'!권종원</definedName>
    <definedName name="권종원">'[30]DDS correction'!권종원</definedName>
    <definedName name="김세일" localSheetId="7">'[30]DDS correction'!김세일</definedName>
    <definedName name="김세일" localSheetId="4">'[30]DDS correction'!김세일</definedName>
    <definedName name="김세일" localSheetId="8">'[30]DDS correction'!김세일</definedName>
    <definedName name="김세일" localSheetId="6">'[30]DDS correction'!김세일</definedName>
    <definedName name="김세일">'[30]DDS correction'!김세일</definedName>
    <definedName name="김일" localSheetId="7">'[30]DDS correction'!김일</definedName>
    <definedName name="김일" localSheetId="4">'[30]DDS correction'!김일</definedName>
    <definedName name="김일" localSheetId="8">'[30]DDS correction'!김일</definedName>
    <definedName name="김일" localSheetId="6">'[30]DDS correction'!김일</definedName>
    <definedName name="김일">'[30]DDS correction'!김일</definedName>
    <definedName name="나">{#N/A,#N/A,FALSE,"Aging Summary";#N/A,#N/A,FALSE,"Ratio Analysis";#N/A,#N/A,FALSE,"Test 120 Day Accts";#N/A,#N/A,FALSE,"Tickmarks"}</definedName>
    <definedName name="ㄷㅂㅈㄷ">#REF!</definedName>
    <definedName name="ㄷ야ㅗㅔㅐㄹㅈ대ㅈㄷㅈㄷㄱ">#REF!</definedName>
    <definedName name="ㅁㅁ">#REF!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색상현황">#REF!</definedName>
    <definedName name="세일" localSheetId="7">'[30]DDS correction'!세일</definedName>
    <definedName name="세일" localSheetId="4">'[30]DDS correction'!세일</definedName>
    <definedName name="세일" localSheetId="8">'[30]DDS correction'!세일</definedName>
    <definedName name="세일" localSheetId="6">'[30]DDS correction'!세일</definedName>
    <definedName name="세일">'[30]DDS correction'!세일</definedName>
    <definedName name="소형4">#REF!</definedName>
    <definedName name="소형발인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ㄴㄷㄱㅈ">#REF!</definedName>
    <definedName name="요인별2">#REF!</definedName>
    <definedName name="윤">#REF!</definedName>
    <definedName name="일" localSheetId="7">'[30]DDS correction'!일</definedName>
    <definedName name="일" localSheetId="4">'[30]DDS correction'!일</definedName>
    <definedName name="일" localSheetId="8">'[30]DDS correction'!일</definedName>
    <definedName name="일" localSheetId="6">'[30]DDS correction'!일</definedName>
    <definedName name="일">'[30]DDS correction'!일</definedName>
    <definedName name="ㅈㄷㅈㄷㄱㄷ">#REF!</definedName>
    <definedName name="정비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 localSheetId="7">'[30]DDS correction'!종원</definedName>
    <definedName name="종원" localSheetId="4">'[30]DDS correction'!종원</definedName>
    <definedName name="종원" localSheetId="8">'[30]DDS correction'!종원</definedName>
    <definedName name="종원" localSheetId="6">'[30]DDS correction'!종원</definedName>
    <definedName name="종원">'[30]DDS correction'!종원</definedName>
    <definedName name="투자">{#N/A,#N/A,FALSE,"Aging Summary";#N/A,#N/A,FALSE,"Ratio Analysis";#N/A,#N/A,FALSE,"Test 120 Day Accts";#N/A,#N/A,FALSE,"Tickmarks"}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">#REF!</definedName>
    <definedName name="ㅎㅎㅎㅎ">#REF!</definedName>
    <definedName name="ㅏㅏ">#REF!</definedName>
    <definedName name="ㅕㅕ">#REF!</definedName>
    <definedName name="ㅡㅡ">#REF!</definedName>
  </definedNames>
  <calcPr fullCalcOnLoad="1"/>
</workbook>
</file>

<file path=xl/sharedStrings.xml><?xml version="1.0" encoding="utf-8"?>
<sst xmlns="http://schemas.openxmlformats.org/spreadsheetml/2006/main" count="8660" uniqueCount="1158">
  <si>
    <t>Línea</t>
  </si>
  <si>
    <t>2024 Tiempo Utilizado</t>
  </si>
  <si>
    <t>2024 Utilización (%)</t>
  </si>
  <si>
    <t>2024 PIM 400V Piezas Anuales</t>
  </si>
  <si>
    <t>2024 PIM 400V Segundos Anuales</t>
  </si>
  <si>
    <t>2024 Total Piezas Anuales</t>
  </si>
  <si>
    <t>2024 Total Segundos Anuales</t>
  </si>
  <si>
    <t>2025 Tiempo Utilizado</t>
  </si>
  <si>
    <t>2025 Utilización (%)</t>
  </si>
  <si>
    <t>2025 PIM 400V Piezas Anuales</t>
  </si>
  <si>
    <t>2025 PIM 400V Segundos Anuales</t>
  </si>
  <si>
    <t>2025 Total Piezas Anuales</t>
  </si>
  <si>
    <t>2025 Total Segundos Anuales</t>
  </si>
  <si>
    <t>2026 Tiempo Utilizado</t>
  </si>
  <si>
    <t>2026 Utilización (%)</t>
  </si>
  <si>
    <t>2026 PIM 400V Piezas Anuales</t>
  </si>
  <si>
    <t>2026 PIM 400V Segundos Anuales</t>
  </si>
  <si>
    <t>2026 Total Piezas Anuales</t>
  </si>
  <si>
    <t>2026 Total Segundos Anuales</t>
  </si>
  <si>
    <t>2027 Tiempo Utilizado</t>
  </si>
  <si>
    <t>2027 Utilización (%)</t>
  </si>
  <si>
    <t>2027 GPIM Piezas Anuales</t>
  </si>
  <si>
    <t>2027 PIM 800V Piezas Anuales</t>
  </si>
  <si>
    <t>2027 PIM 400V Piezas Anuales</t>
  </si>
  <si>
    <t>2027 GPIM Segundos Anuales</t>
  </si>
  <si>
    <t>2027 PIM 800V Segundos Anuales</t>
  </si>
  <si>
    <t>2027 PIM 400V Segundos Anuales</t>
  </si>
  <si>
    <t>2027 Total Piezas Anuales</t>
  </si>
  <si>
    <t>2027 Total Segundos Anuales</t>
  </si>
  <si>
    <t>2028 Tiempo Utilizado</t>
  </si>
  <si>
    <t>2028 Utilización (%)</t>
  </si>
  <si>
    <t>2028 GPIM Piezas Anuales</t>
  </si>
  <si>
    <t>2028 PIM 800V Piezas Anuales</t>
  </si>
  <si>
    <t>2028 PIM 400V Piezas Anuales</t>
  </si>
  <si>
    <t>2028 GPIM Segundos Anuales</t>
  </si>
  <si>
    <t>2028 PIM 800V Segundos Anuales</t>
  </si>
  <si>
    <t>2028 PIM 400V Segundos Anuales</t>
  </si>
  <si>
    <t>2028 Total Piezas Anuales</t>
  </si>
  <si>
    <t>2028 Total Segundos Anuales</t>
  </si>
  <si>
    <t>2029 Tiempo Utilizado</t>
  </si>
  <si>
    <t>2029 Utilización (%)</t>
  </si>
  <si>
    <t>2029 GPIM Piezas Anuales</t>
  </si>
  <si>
    <t>2029 PIM 800V Piezas Anuales</t>
  </si>
  <si>
    <t>2029 PIM 400V Piezas Anuales</t>
  </si>
  <si>
    <t>2029 GPIM Segundos Anuales</t>
  </si>
  <si>
    <t>2029 PIM 800V Segundos Anuales</t>
  </si>
  <si>
    <t>2029 PIM 400V Segundos Anuales</t>
  </si>
  <si>
    <t>2029 Total Piezas Anuales</t>
  </si>
  <si>
    <t>2029 Total Segundos Anuales</t>
  </si>
  <si>
    <t>2030 Tiempo Utilizado</t>
  </si>
  <si>
    <t>2030 Utilización (%)</t>
  </si>
  <si>
    <t>2030 GPIM Piezas Anuales</t>
  </si>
  <si>
    <t>2030 PIM 800V Piezas Anuales</t>
  </si>
  <si>
    <t>2030 PIM 400V Piezas Anuales</t>
  </si>
  <si>
    <t>2030 GPIM Segundos Anuales</t>
  </si>
  <si>
    <t>2030 PIM 800V Segundos Anuales</t>
  </si>
  <si>
    <t>2030 PIM 400V Segundos Anuales</t>
  </si>
  <si>
    <t>2030 Total Piezas Anuales</t>
  </si>
  <si>
    <t>2030 Total Segundos Anuales</t>
  </si>
  <si>
    <t>2031 Tiempo Utilizado</t>
  </si>
  <si>
    <t>2031 Utilización (%)</t>
  </si>
  <si>
    <t>2031 GPIM Piezas Anuales</t>
  </si>
  <si>
    <t>2031 PIM 800V Piezas Anuales</t>
  </si>
  <si>
    <t>2031 PIM 400V Piezas Anuales</t>
  </si>
  <si>
    <t>2031 GPIM Segundos Anuales</t>
  </si>
  <si>
    <t>2031 PIM 800V Segundos Anuales</t>
  </si>
  <si>
    <t>2031 PIM 400V Segundos Anuales</t>
  </si>
  <si>
    <t>2031 Total Piezas Anuales</t>
  </si>
  <si>
    <t>2031 Total Segundos Anuales</t>
  </si>
  <si>
    <t>2032 Tiempo Utilizado</t>
  </si>
  <si>
    <t>2032 Utilización (%)</t>
  </si>
  <si>
    <t>2032 GPIM Piezas Anuales</t>
  </si>
  <si>
    <t>2032 PIM 800V Piezas Anuales</t>
  </si>
  <si>
    <t>2032 PIM 400V Piezas Anuales</t>
  </si>
  <si>
    <t>2032 GPIM Segundos Anuales</t>
  </si>
  <si>
    <t>2032 PIM 800V Segundos Anuales</t>
  </si>
  <si>
    <t>2032 PIM 400V Segundos Anuales</t>
  </si>
  <si>
    <t>2032 Total Piezas Anuales</t>
  </si>
  <si>
    <t>2032 Total Segundos Anuales</t>
  </si>
  <si>
    <t>2033 Tiempo Utilizado</t>
  </si>
  <si>
    <t>2033 Utilización (%)</t>
  </si>
  <si>
    <t>2033 GPIM Piezas Anuales</t>
  </si>
  <si>
    <t>2033 PIM 800V Piezas Anuales</t>
  </si>
  <si>
    <t>2033 PIM 400V Piezas Anuales</t>
  </si>
  <si>
    <t>2033 GPIM Segundos Anuales</t>
  </si>
  <si>
    <t>2033 PIM 800V Segundos Anuales</t>
  </si>
  <si>
    <t>2033 PIM 400V Segundos Anuales</t>
  </si>
  <si>
    <t>2033 Total Piezas Anuales</t>
  </si>
  <si>
    <t>2033 Total Segundos Anuales</t>
  </si>
  <si>
    <t>2034 Tiempo Utilizado</t>
  </si>
  <si>
    <t>2034 Utilización (%)</t>
  </si>
  <si>
    <t>2034 GPIM Piezas Anuales</t>
  </si>
  <si>
    <t>2034 PIM 800V Piezas Anuales</t>
  </si>
  <si>
    <t>2034 PIM 400V Piezas Anuales</t>
  </si>
  <si>
    <t>2034 GPIM Segundos Anuales</t>
  </si>
  <si>
    <t>2034 PIM 800V Segundos Anuales</t>
  </si>
  <si>
    <t>2034 PIM 400V Segundos Anuales</t>
  </si>
  <si>
    <t>2034 Total Piezas Anuales</t>
  </si>
  <si>
    <t>2034 Total Segundos Anuales</t>
  </si>
  <si>
    <t>Test Cell 400 1</t>
  </si>
  <si>
    <t>13.34%</t>
  </si>
  <si>
    <t>8.56%</t>
  </si>
  <si>
    <t>1.62%</t>
  </si>
  <si>
    <t>40.99%</t>
  </si>
  <si>
    <t>41.71%</t>
  </si>
  <si>
    <t>44.52%</t>
  </si>
  <si>
    <t>54.15%</t>
  </si>
  <si>
    <t>72.28%</t>
  </si>
  <si>
    <t>94.72%</t>
  </si>
  <si>
    <t>99.99%</t>
  </si>
  <si>
    <t>99.69%</t>
  </si>
  <si>
    <t>Test Cell 400 2</t>
  </si>
  <si>
    <t>0.00%</t>
  </si>
  <si>
    <t>34.65%</t>
  </si>
  <si>
    <t>Test Cell GPIM</t>
  </si>
  <si>
    <t>16.20%</t>
  </si>
  <si>
    <t>6.61%</t>
  </si>
  <si>
    <t>13.48%</t>
  </si>
  <si>
    <t>21.52%</t>
  </si>
  <si>
    <t>36.69%</t>
  </si>
  <si>
    <t>26.96%</t>
  </si>
  <si>
    <t>Test Cell 800V</t>
  </si>
  <si>
    <t>1.24%</t>
  </si>
  <si>
    <t>7.04%</t>
  </si>
  <si>
    <t>17.05%</t>
  </si>
  <si>
    <t>8.53%</t>
  </si>
  <si>
    <t>13.59%</t>
  </si>
  <si>
    <t>16.68%</t>
  </si>
  <si>
    <t>27.80%</t>
  </si>
  <si>
    <t>22.12%</t>
  </si>
  <si>
    <t>Tabla de Resumen</t>
  </si>
  <si>
    <t>HVDC 1</t>
  </si>
  <si>
    <t>99.84%</t>
  </si>
  <si>
    <t>27.79%</t>
  </si>
  <si>
    <t>HVDC 2</t>
  </si>
  <si>
    <t>47.35%</t>
  </si>
  <si>
    <t>HVDC 3</t>
  </si>
  <si>
    <t>29.85%</t>
  </si>
  <si>
    <t>HVDC 4</t>
  </si>
  <si>
    <t>HVDC 5</t>
  </si>
  <si>
    <t>HVAC 1</t>
  </si>
  <si>
    <t>HVAC 2</t>
  </si>
  <si>
    <t>HVAC 3</t>
  </si>
  <si>
    <t>HVAC 4</t>
  </si>
  <si>
    <t>HVAC 5</t>
  </si>
  <si>
    <t>GDB Subassy 1</t>
  </si>
  <si>
    <t>GDB Subassy 2</t>
  </si>
  <si>
    <t>GDB Subassy 3</t>
  </si>
  <si>
    <t>GDB Subassy 4</t>
  </si>
  <si>
    <t>GDB Subassy 5</t>
  </si>
  <si>
    <t>HVIL 1</t>
  </si>
  <si>
    <t>HVIL 2</t>
  </si>
  <si>
    <t>Molykote 1</t>
  </si>
  <si>
    <t>Molykote 2</t>
  </si>
  <si>
    <t>Molykote 3</t>
  </si>
  <si>
    <t>Viper Installed 1</t>
  </si>
  <si>
    <t>Viper Installed 2</t>
  </si>
  <si>
    <t>Viper Installed 3</t>
  </si>
  <si>
    <t>Viper Installed 4</t>
  </si>
  <si>
    <t>NVH PAD (400V 250/150) 1</t>
  </si>
  <si>
    <t>FSW Leak Test (400V 800V) 1</t>
  </si>
  <si>
    <t>FSW Leak Test (400V 800V) 2</t>
  </si>
  <si>
    <t>AC Junction (GPIM) 1</t>
  </si>
  <si>
    <t>AC Junction (GPIM) 2</t>
  </si>
  <si>
    <t>Coolant Port (GPIM) 1</t>
  </si>
  <si>
    <t>Coolant Port (GPIM) 2</t>
  </si>
  <si>
    <t>DC Junction (GPIM) 1</t>
  </si>
  <si>
    <t>DC Junction (GPIM) 2</t>
  </si>
  <si>
    <t>DC Junction (GPIM) 3</t>
  </si>
  <si>
    <t>FSW Leak Test (GPIM) 1</t>
  </si>
  <si>
    <t>2024 Allison Piezas Anuales</t>
  </si>
  <si>
    <t>2024 Caterpillar Piezas Anuales</t>
  </si>
  <si>
    <t>2024 DTCM Piezas Anuales</t>
  </si>
  <si>
    <t>2024 GKN Piezas Anuales</t>
  </si>
  <si>
    <t>2024 GPEC5 Piezas Anuales</t>
  </si>
  <si>
    <t>2024 GPEC5 LATAM Piezas Anuales</t>
  </si>
  <si>
    <t>2024 Allison Segundos Anuales</t>
  </si>
  <si>
    <t>2024 Caterpillar Segundos Anuales</t>
  </si>
  <si>
    <t>2024 DTCM Segundos Anuales</t>
  </si>
  <si>
    <t>2024 GKN Segundos Anuales</t>
  </si>
  <si>
    <t>2024 GPEC5 Segundos Anuales</t>
  </si>
  <si>
    <t>2024 GPEC5 LATAM Segundos Anuales</t>
  </si>
  <si>
    <t>2025 Allison Piezas Anuales</t>
  </si>
  <si>
    <t>2025 Caterpillar Piezas Anuales</t>
  </si>
  <si>
    <t>2025 DTCM Piezas Anuales</t>
  </si>
  <si>
    <t>2025 GKN Piezas Anuales</t>
  </si>
  <si>
    <t>2025 GPEC5 Piezas Anuales</t>
  </si>
  <si>
    <t>2025 GPEC5 LATAM Piezas Anuales</t>
  </si>
  <si>
    <t>2025 Allison Segundos Anuales</t>
  </si>
  <si>
    <t>2025 Caterpillar Segundos Anuales</t>
  </si>
  <si>
    <t>2025 DTCM Segundos Anuales</t>
  </si>
  <si>
    <t>2025 GKN Segundos Anuales</t>
  </si>
  <si>
    <t>2025 GPEC5 Segundos Anuales</t>
  </si>
  <si>
    <t>2025 GPEC5 LATAM Segundos Anuales</t>
  </si>
  <si>
    <t>2026 Allison Piezas Anuales</t>
  </si>
  <si>
    <t>2026 Caterpillar Piezas Anuales</t>
  </si>
  <si>
    <t>2026 DTCM Piezas Anuales</t>
  </si>
  <si>
    <t>2026 GKN Piezas Anuales</t>
  </si>
  <si>
    <t>2026 GPEC5 Piezas Anuales</t>
  </si>
  <si>
    <t>2026 GPEC5 LATAM Piezas Anuales</t>
  </si>
  <si>
    <t>2026 Allison Segundos Anuales</t>
  </si>
  <si>
    <t>2026 Caterpillar Segundos Anuales</t>
  </si>
  <si>
    <t>2026 DTCM Segundos Anuales</t>
  </si>
  <si>
    <t>2026 GKN Segundos Anuales</t>
  </si>
  <si>
    <t>2026 GPEC5 Segundos Anuales</t>
  </si>
  <si>
    <t>2026 GPEC5 LATAM Segundos Anuales</t>
  </si>
  <si>
    <t>2027 Allison Piezas Anuales</t>
  </si>
  <si>
    <t>2027 Caterpillar Piezas Anuales</t>
  </si>
  <si>
    <t>2027 DTCM Piezas Anuales</t>
  </si>
  <si>
    <t>2027 GKN Piezas Anuales</t>
  </si>
  <si>
    <t>2027 GPEC5 Piezas Anuales</t>
  </si>
  <si>
    <t>2027 GPEC5 LATAM Piezas Anuales</t>
  </si>
  <si>
    <t>2027 Allison Segundos Anuales</t>
  </si>
  <si>
    <t>2027 Caterpillar Segundos Anuales</t>
  </si>
  <si>
    <t>2027 DTCM Segundos Anuales</t>
  </si>
  <si>
    <t>2027 GKN Segundos Anuales</t>
  </si>
  <si>
    <t>2027 GPEC5 Segundos Anuales</t>
  </si>
  <si>
    <t>2027 GPEC5 LATAM Segundos Anuales</t>
  </si>
  <si>
    <t>2028 Allison Piezas Anuales</t>
  </si>
  <si>
    <t>2028 Caterpillar Piezas Anuales</t>
  </si>
  <si>
    <t>2028 DTCM Piezas Anuales</t>
  </si>
  <si>
    <t>2028 GKN Piezas Anuales</t>
  </si>
  <si>
    <t>2028 GPEC5 Piezas Anuales</t>
  </si>
  <si>
    <t>2028 GPEC5 LATAM Piezas Anuales</t>
  </si>
  <si>
    <t>2028 Allison Segundos Anuales</t>
  </si>
  <si>
    <t>2028 Caterpillar Segundos Anuales</t>
  </si>
  <si>
    <t>2028 DTCM Segundos Anuales</t>
  </si>
  <si>
    <t>2028 GKN Segundos Anuales</t>
  </si>
  <si>
    <t>2028 GPEC5 Segundos Anuales</t>
  </si>
  <si>
    <t>2028 GPEC5 LATAM Segundos Anuales</t>
  </si>
  <si>
    <t>2029 Allison Piezas Anuales</t>
  </si>
  <si>
    <t>2029 Caterpillar Piezas Anuales</t>
  </si>
  <si>
    <t>2029 DTCM Piezas Anuales</t>
  </si>
  <si>
    <t>2029 GKN Piezas Anuales</t>
  </si>
  <si>
    <t>2029 GPEC5 Piezas Anuales</t>
  </si>
  <si>
    <t>2029 GPEC5 LATAM Piezas Anuales</t>
  </si>
  <si>
    <t>2029 Allison Segundos Anuales</t>
  </si>
  <si>
    <t>2029 Caterpillar Segundos Anuales</t>
  </si>
  <si>
    <t>2029 DTCM Segundos Anuales</t>
  </si>
  <si>
    <t>2029 GKN Segundos Anuales</t>
  </si>
  <si>
    <t>2029 GPEC5 Segundos Anuales</t>
  </si>
  <si>
    <t>2029 GPEC5 LATAM Segundos Anuales</t>
  </si>
  <si>
    <t>2030 Allison Piezas Anuales</t>
  </si>
  <si>
    <t>2030 Caterpillar Piezas Anuales</t>
  </si>
  <si>
    <t>2030 DTCM Piezas Anuales</t>
  </si>
  <si>
    <t>2030 GKN Piezas Anuales</t>
  </si>
  <si>
    <t>2030 GPEC5 Piezas Anuales</t>
  </si>
  <si>
    <t>2030 GPEC5 LATAM Piezas Anuales</t>
  </si>
  <si>
    <t>2030 Allison Segundos Anuales</t>
  </si>
  <si>
    <t>2030 Caterpillar Segundos Anuales</t>
  </si>
  <si>
    <t>2030 DTCM Segundos Anuales</t>
  </si>
  <si>
    <t>2030 GKN Segundos Anuales</t>
  </si>
  <si>
    <t>2030 GPEC5 Segundos Anuales</t>
  </si>
  <si>
    <t>2030 GPEC5 LATAM Segundos Anuales</t>
  </si>
  <si>
    <t>2031 Caterpillar Piezas Anuales</t>
  </si>
  <si>
    <t>2031 DTCM Piezas Anuales</t>
  </si>
  <si>
    <t>2031 GPEC5 Piezas Anuales</t>
  </si>
  <si>
    <t>2031 GPEC5 LATAM Piezas Anuales</t>
  </si>
  <si>
    <t>2031 Caterpillar Segundos Anuales</t>
  </si>
  <si>
    <t>2031 DTCM Segundos Anuales</t>
  </si>
  <si>
    <t>2031 GPEC5 Segundos Anuales</t>
  </si>
  <si>
    <t>2031 GPEC5 LATAM Segundos Anuales</t>
  </si>
  <si>
    <t>2032 Caterpillar Piezas Anuales</t>
  </si>
  <si>
    <t>2032 DTCM Piezas Anuales</t>
  </si>
  <si>
    <t>2032 GPEC5 Piezas Anuales</t>
  </si>
  <si>
    <t>2032 GPEC5 LATAM Piezas Anuales</t>
  </si>
  <si>
    <t>2032 Caterpillar Segundos Anuales</t>
  </si>
  <si>
    <t>2032 DTCM Segundos Anuales</t>
  </si>
  <si>
    <t>2032 GPEC5 Segundos Anuales</t>
  </si>
  <si>
    <t>2032 GPEC5 LATAM Segundos Anuales</t>
  </si>
  <si>
    <t>2033 Caterpillar Piezas Anuales</t>
  </si>
  <si>
    <t>2033 DTCM Piezas Anuales</t>
  </si>
  <si>
    <t>2033 GPEC5 Piezas Anuales</t>
  </si>
  <si>
    <t>2033 GPEC5 LATAM Piezas Anuales</t>
  </si>
  <si>
    <t>2033 Caterpillar Segundos Anuales</t>
  </si>
  <si>
    <t>2033 DTCM Segundos Anuales</t>
  </si>
  <si>
    <t>2033 GPEC5 Segundos Anuales</t>
  </si>
  <si>
    <t>2033 GPEC5 LATAM Segundos Anuales</t>
  </si>
  <si>
    <t>2034 Caterpillar Piezas Anuales</t>
  </si>
  <si>
    <t>2034 GPEC5 Piezas Anuales</t>
  </si>
  <si>
    <t>2034 GPEC5 LATAM Piezas Anuales</t>
  </si>
  <si>
    <t>2034 Caterpillar Segundos Anuales</t>
  </si>
  <si>
    <t>2034 GPEC5 Segundos Anuales</t>
  </si>
  <si>
    <t>2034 GPEC5 LATAM Segundos Anuales</t>
  </si>
  <si>
    <t>FA Combo 1</t>
  </si>
  <si>
    <t>17.42%</t>
  </si>
  <si>
    <t>7.11%</t>
  </si>
  <si>
    <t>14.50%</t>
  </si>
  <si>
    <t>23.14%</t>
  </si>
  <si>
    <t>39.45%</t>
  </si>
  <si>
    <t>28.99%</t>
  </si>
  <si>
    <t>FA Auto 1</t>
  </si>
  <si>
    <t>21.00%</t>
  </si>
  <si>
    <t>13.47%</t>
  </si>
  <si>
    <t>2.54%</t>
  </si>
  <si>
    <t>65.44%</t>
  </si>
  <si>
    <t>71.00%</t>
  </si>
  <si>
    <t>83.05%</t>
  </si>
  <si>
    <t>91.72%</t>
  </si>
  <si>
    <t>99.91%</t>
  </si>
  <si>
    <t>FA Auto 2</t>
  </si>
  <si>
    <t>24.20%</t>
  </si>
  <si>
    <t>61.87%</t>
  </si>
  <si>
    <t>73.83%</t>
  </si>
  <si>
    <t>FA Auto 3</t>
  </si>
  <si>
    <t>33.24%</t>
  </si>
  <si>
    <t>FA Auto 4</t>
  </si>
  <si>
    <t>FA 1 - GPEC5</t>
  </si>
  <si>
    <t>99.97%</t>
  </si>
  <si>
    <t>20.99%</t>
  </si>
  <si>
    <t>73.70%</t>
  </si>
  <si>
    <t>67.60%</t>
  </si>
  <si>
    <t>62.49%</t>
  </si>
  <si>
    <t>63.10%</t>
  </si>
  <si>
    <t>52.80%</t>
  </si>
  <si>
    <t>54.56%</t>
  </si>
  <si>
    <t>53.54%</t>
  </si>
  <si>
    <t>35.79%</t>
  </si>
  <si>
    <t>FA 1 - DTCM</t>
  </si>
  <si>
    <t>27.96%</t>
  </si>
  <si>
    <t>57.88%</t>
  </si>
  <si>
    <t>21.28%</t>
  </si>
  <si>
    <t>76.15%</t>
  </si>
  <si>
    <t>71.35%</t>
  </si>
  <si>
    <t>68.67%</t>
  </si>
  <si>
    <t>69.39%</t>
  </si>
  <si>
    <t>74.83%</t>
  </si>
  <si>
    <t>74.71%</t>
  </si>
  <si>
    <t>FA 1 - GKN</t>
  </si>
  <si>
    <t>95.29%</t>
  </si>
  <si>
    <t>5.65%</t>
  </si>
  <si>
    <t>66.85%</t>
  </si>
  <si>
    <t>48.96%</t>
  </si>
  <si>
    <t>48.59%</t>
  </si>
  <si>
    <t>3.86%</t>
  </si>
  <si>
    <t>FA 1 - Allison</t>
  </si>
  <si>
    <t>99.66%</t>
  </si>
  <si>
    <t>78.42%</t>
  </si>
  <si>
    <t>20.31%</t>
  </si>
  <si>
    <t>77.78%</t>
  </si>
  <si>
    <t>80.65%</t>
  </si>
  <si>
    <t>83.45%</t>
  </si>
  <si>
    <t>88.18%</t>
  </si>
  <si>
    <t>Caterpillar 1</t>
  </si>
  <si>
    <t>50.93%</t>
  </si>
  <si>
    <t>64.27%</t>
  </si>
  <si>
    <t>36.27%</t>
  </si>
  <si>
    <t>75.20%</t>
  </si>
  <si>
    <t>77.20%</t>
  </si>
  <si>
    <t>77.33%</t>
  </si>
  <si>
    <t>75.87%</t>
  </si>
  <si>
    <t>72.13%</t>
  </si>
  <si>
    <t>71.07%</t>
  </si>
  <si>
    <t>12.27%</t>
  </si>
  <si>
    <t>14.27%</t>
  </si>
  <si>
    <t>2027 CHARGER Piezas Anuales</t>
  </si>
  <si>
    <t>2027 E80 Piezas Anuales</t>
  </si>
  <si>
    <t>2027 GMTPIM Piezas Anuales</t>
  </si>
  <si>
    <t>2027 LEB BMW AG-71 Piezas Anuales</t>
  </si>
  <si>
    <t>2027 CHARGER Segundos Anuales</t>
  </si>
  <si>
    <t>2027 E80 Segundos Anuales</t>
  </si>
  <si>
    <t>2027 GMTPIM Segundos Anuales</t>
  </si>
  <si>
    <t>2027 LEB BMW AG-71 Segundos Anuales</t>
  </si>
  <si>
    <t>2028 CHARGER Piezas Anuales</t>
  </si>
  <si>
    <t>2028 BEV2-2 Dual Inverter 400V Piezas Anuales</t>
  </si>
  <si>
    <t>2028 E80 Piezas Anuales</t>
  </si>
  <si>
    <t>2028 GMTPIM Piezas Anuales</t>
  </si>
  <si>
    <t>2028 LEB BMW AG-71 Piezas Anuales</t>
  </si>
  <si>
    <t>2028 BEV2-2 Single Inverter 400V Piezas Anuales</t>
  </si>
  <si>
    <t>2028 CHARGER Segundos Anuales</t>
  </si>
  <si>
    <t>2028 BEV2-2 Dual Inverter 400V Segundos Anuales</t>
  </si>
  <si>
    <t>2028 E80 Segundos Anuales</t>
  </si>
  <si>
    <t>2028 GMTPIM Segundos Anuales</t>
  </si>
  <si>
    <t>2028 LEB BMW AG-71 Segundos Anuales</t>
  </si>
  <si>
    <t>2028 BEV2-2 Single Inverter 400V Segundos Anuales</t>
  </si>
  <si>
    <t>2029 BMW Inverter Piezas Anuales</t>
  </si>
  <si>
    <t>2029 CHARGER Piezas Anuales</t>
  </si>
  <si>
    <t>2029 BEV2-2 Dual Inverter 400V Piezas Anuales</t>
  </si>
  <si>
    <t>2029 E80 Piezas Anuales</t>
  </si>
  <si>
    <t>2029 GMTPIM Piezas Anuales</t>
  </si>
  <si>
    <t>2029 Ford_Power Motor + Gear Box Piezas Anuales</t>
  </si>
  <si>
    <t>2029 LEB BMW AG-71 Piezas Anuales</t>
  </si>
  <si>
    <t>2029 BEV2-2 Single Inverter 400V Piezas Anuales</t>
  </si>
  <si>
    <t>2029 GM OBCM- 1 Phase Piezas Anuales</t>
  </si>
  <si>
    <t>2029 BMW Inverter Segundos Anuales</t>
  </si>
  <si>
    <t>2029 CHARGER Segundos Anuales</t>
  </si>
  <si>
    <t>2029 BEV2-2 Dual Inverter 400V Segundos Anuales</t>
  </si>
  <si>
    <t>2029 E80 Segundos Anuales</t>
  </si>
  <si>
    <t>2029 GMTPIM Segundos Anuales</t>
  </si>
  <si>
    <t>2029 Ford_Power Motor + Gear Box Segundos Anuales</t>
  </si>
  <si>
    <t>2029 LEB BMW AG-71 Segundos Anuales</t>
  </si>
  <si>
    <t>2029 BEV2-2 Single Inverter 400V Segundos Anuales</t>
  </si>
  <si>
    <t>2029 GM OBCM- 1 Phase Segundos Anuales</t>
  </si>
  <si>
    <t>2030 BMW Inverter Piezas Anuales</t>
  </si>
  <si>
    <t>2030 BEV2-2 Dual Inverter 400V Piezas Anuales</t>
  </si>
  <si>
    <t>2030 E80 Piezas Anuales</t>
  </si>
  <si>
    <t>2030 Ford_Power Motor + Gear Box Piezas Anuales</t>
  </si>
  <si>
    <t>2030 BEV2-2 Single Inverter 400V Piezas Anuales</t>
  </si>
  <si>
    <t>2030 GM OBCM- 1 Phase Piezas Anuales</t>
  </si>
  <si>
    <t>2030 BMW Inverter Segundos Anuales</t>
  </si>
  <si>
    <t>2030 BEV2-2 Dual Inverter 400V Segundos Anuales</t>
  </si>
  <si>
    <t>2030 E80 Segundos Anuales</t>
  </si>
  <si>
    <t>2030 Ford_Power Motor + Gear Box Segundos Anuales</t>
  </si>
  <si>
    <t>2030 BEV2-2 Single Inverter 400V Segundos Anuales</t>
  </si>
  <si>
    <t>2030 GM OBCM- 1 Phase Segundos Anuales</t>
  </si>
  <si>
    <t>2031 BMW Inverter Piezas Anuales</t>
  </si>
  <si>
    <t>2031 BEV2-2 Dual Inverter 400V Piezas Anuales</t>
  </si>
  <si>
    <t>2031 E80 Piezas Anuales</t>
  </si>
  <si>
    <t>2031 Ford_Power Motor + Gear Box Piezas Anuales</t>
  </si>
  <si>
    <t>2031 BEV2-2 Single Inverter 400V Piezas Anuales</t>
  </si>
  <si>
    <t>2031 GM OBCM- 1 Phase Piezas Anuales</t>
  </si>
  <si>
    <t>2031 GM OBCM- 3 Phase Piezas Anuales</t>
  </si>
  <si>
    <t>2031 BMW Inverter Segundos Anuales</t>
  </si>
  <si>
    <t>2031 BEV2-2 Dual Inverter 400V Segundos Anuales</t>
  </si>
  <si>
    <t>2031 E80 Segundos Anuales</t>
  </si>
  <si>
    <t>2031 Ford_Power Motor + Gear Box Segundos Anuales</t>
  </si>
  <si>
    <t>2031 BEV2-2 Single Inverter 400V Segundos Anuales</t>
  </si>
  <si>
    <t>2031 GM OBCM- 1 Phase Segundos Anuales</t>
  </si>
  <si>
    <t>2031 GM OBCM- 3 Phase Segundos Anuales</t>
  </si>
  <si>
    <t>2032 BMW Inverter Piezas Anuales</t>
  </si>
  <si>
    <t>2032 BEV2-2 Dual Inverter 400V Piezas Anuales</t>
  </si>
  <si>
    <t>2032 E80 Piezas Anuales</t>
  </si>
  <si>
    <t>2032 Ford_Power Motor + Gear Box Piezas Anuales</t>
  </si>
  <si>
    <t>2032 BEV2-2 Single Inverter 400V Piezas Anuales</t>
  </si>
  <si>
    <t>2032 GM OBCM- 1 Phase Piezas Anuales</t>
  </si>
  <si>
    <t>2032 GM OBCM- 3 Phase Piezas Anuales</t>
  </si>
  <si>
    <t>2032 BMW Inverter Segundos Anuales</t>
  </si>
  <si>
    <t>2032 BEV2-2 Dual Inverter 400V Segundos Anuales</t>
  </si>
  <si>
    <t>2032 E80 Segundos Anuales</t>
  </si>
  <si>
    <t>2032 Ford_Power Motor + Gear Box Segundos Anuales</t>
  </si>
  <si>
    <t>2032 BEV2-2 Single Inverter 400V Segundos Anuales</t>
  </si>
  <si>
    <t>2032 GM OBCM- 1 Phase Segundos Anuales</t>
  </si>
  <si>
    <t>2032 GM OBCM- 3 Phase Segundos Anuales</t>
  </si>
  <si>
    <t>2033 BMW Inverter Piezas Anuales</t>
  </si>
  <si>
    <t>2033 BEV2-2 Dual Inverter 400V Piezas Anuales</t>
  </si>
  <si>
    <t>2033 E80 Piezas Anuales</t>
  </si>
  <si>
    <t>2033 Ford_Power Motor + Gear Box Piezas Anuales</t>
  </si>
  <si>
    <t>2033 BEV2-2 Single Inverter 400V Piezas Anuales</t>
  </si>
  <si>
    <t>2033 GM OBCM- 1 Phase Piezas Anuales</t>
  </si>
  <si>
    <t>2033 GM OBCM- 3 Phase Piezas Anuales</t>
  </si>
  <si>
    <t>2033 BMW Inverter Segundos Anuales</t>
  </si>
  <si>
    <t>2033 BEV2-2 Dual Inverter 400V Segundos Anuales</t>
  </si>
  <si>
    <t>2033 E80 Segundos Anuales</t>
  </si>
  <si>
    <t>2033 Ford_Power Motor + Gear Box Segundos Anuales</t>
  </si>
  <si>
    <t>2033 BEV2-2 Single Inverter 400V Segundos Anuales</t>
  </si>
  <si>
    <t>2033 GM OBCM- 1 Phase Segundos Anuales</t>
  </si>
  <si>
    <t>2033 GM OBCM- 3 Phase Segundos Anuales</t>
  </si>
  <si>
    <t>2034 BMW Inverter Piezas Anuales</t>
  </si>
  <si>
    <t>2034 BEV2-2 Dual Inverter 400V Piezas Anuales</t>
  </si>
  <si>
    <t>2034 E80 Piezas Anuales</t>
  </si>
  <si>
    <t>2034 Ford_Power Motor + Gear Box Piezas Anuales</t>
  </si>
  <si>
    <t>2034 BEV2-2 Single Inverter 400V Piezas Anuales</t>
  </si>
  <si>
    <t>2034 GM OBCM- 1 Phase Piezas Anuales</t>
  </si>
  <si>
    <t>2034 GM OBCM- 3 Phase Piezas Anuales</t>
  </si>
  <si>
    <t>2034 BMW Inverter Segundos Anuales</t>
  </si>
  <si>
    <t>2034 BEV2-2 Dual Inverter 400V Segundos Anuales</t>
  </si>
  <si>
    <t>2034 E80 Segundos Anuales</t>
  </si>
  <si>
    <t>2034 Ford_Power Motor + Gear Box Segundos Anuales</t>
  </si>
  <si>
    <t>2034 BEV2-2 Single Inverter 400V Segundos Anuales</t>
  </si>
  <si>
    <t>2034 GM OBCM- 1 Phase Segundos Anuales</t>
  </si>
  <si>
    <t>2034 GM OBCM- 3 Phase Segundos Anuales</t>
  </si>
  <si>
    <t>FSW 1</t>
  </si>
  <si>
    <t>9.67%</t>
  </si>
  <si>
    <t>25.02%</t>
  </si>
  <si>
    <t>95.01%</t>
  </si>
  <si>
    <t>99.96%</t>
  </si>
  <si>
    <t>99.98%</t>
  </si>
  <si>
    <t>100.00%</t>
  </si>
  <si>
    <t>FSW 2</t>
  </si>
  <si>
    <t>73.84%</t>
  </si>
  <si>
    <t>93.63%</t>
  </si>
  <si>
    <t>FSW 3</t>
  </si>
  <si>
    <t>40.65%</t>
  </si>
  <si>
    <t>73.32%</t>
  </si>
  <si>
    <t>82.17%</t>
  </si>
  <si>
    <t>FSW 4</t>
  </si>
  <si>
    <t>FSW 5</t>
  </si>
  <si>
    <t>Router 1</t>
  </si>
  <si>
    <t>24.78%</t>
  </si>
  <si>
    <t>15.89%</t>
  </si>
  <si>
    <t>3.00%</t>
  </si>
  <si>
    <t>91.32%</t>
  </si>
  <si>
    <t>Router 2</t>
  </si>
  <si>
    <t>19.50%</t>
  </si>
  <si>
    <t>96.03%</t>
  </si>
  <si>
    <t>99.95%</t>
  </si>
  <si>
    <t>Router 3</t>
  </si>
  <si>
    <t>95.63%</t>
  </si>
  <si>
    <t>Router 4</t>
  </si>
  <si>
    <t>59.05%</t>
  </si>
  <si>
    <t>Router 5</t>
  </si>
  <si>
    <t>38.90%</t>
  </si>
  <si>
    <t>71.18%</t>
  </si>
  <si>
    <t>Conformal 1</t>
  </si>
  <si>
    <t>40.55%</t>
  </si>
  <si>
    <t>26.00%</t>
  </si>
  <si>
    <t>4.91%</t>
  </si>
  <si>
    <t>Conformal 2</t>
  </si>
  <si>
    <t>49.09%</t>
  </si>
  <si>
    <t>99.89%</t>
  </si>
  <si>
    <t>Conformal 3</t>
  </si>
  <si>
    <t>5.00%</t>
  </si>
  <si>
    <t>99.92%</t>
  </si>
  <si>
    <t>Conformal 4</t>
  </si>
  <si>
    <t>18.08%</t>
  </si>
  <si>
    <t>Conformal 5</t>
  </si>
  <si>
    <t>50.03%</t>
  </si>
  <si>
    <t>SSKMS 1</t>
  </si>
  <si>
    <t>0.52%</t>
  </si>
  <si>
    <t>21.44%</t>
  </si>
  <si>
    <t>29.79%</t>
  </si>
  <si>
    <t>33.58%</t>
  </si>
  <si>
    <t>55.73%</t>
  </si>
  <si>
    <t>66.07%</t>
  </si>
  <si>
    <t>82.36%</t>
  </si>
  <si>
    <t>2024 A4E4 Piezas Anuales</t>
  </si>
  <si>
    <t>2024 A5E2 Piezas Anuales</t>
  </si>
  <si>
    <t>2024 A6EX Piezas Anuales</t>
  </si>
  <si>
    <t>2024 A6MX Piezas Anuales</t>
  </si>
  <si>
    <t>2024 DTCM DT Piezas Anuales</t>
  </si>
  <si>
    <t>2024 A4E4 Segundos Anuales</t>
  </si>
  <si>
    <t>2024 A5E2 Segundos Anuales</t>
  </si>
  <si>
    <t>2024 A6EX Segundos Anuales</t>
  </si>
  <si>
    <t>2024 A6MX Segundos Anuales</t>
  </si>
  <si>
    <t>2024 DTCM DT Segundos Anuales</t>
  </si>
  <si>
    <t>2025 A4E4 Piezas Anuales</t>
  </si>
  <si>
    <t>2025 A5E2 Piezas Anuales</t>
  </si>
  <si>
    <t>2025 A6B3 Piezas Anuales</t>
  </si>
  <si>
    <t>2025 A6EX Piezas Anuales</t>
  </si>
  <si>
    <t>2025 A6MX Piezas Anuales</t>
  </si>
  <si>
    <t>2025 DTCM DJ Piezas Anuales</t>
  </si>
  <si>
    <t>2025 DTCM DT Piezas Anuales</t>
  </si>
  <si>
    <t>2025 DTCM KM Piezas Anuales</t>
  </si>
  <si>
    <t>2025 DTCM M182 Piezas Anuales</t>
  </si>
  <si>
    <t>2025 A4E4 Segundos Anuales</t>
  </si>
  <si>
    <t>2025 A5E2 Segundos Anuales</t>
  </si>
  <si>
    <t>2025 A6B3 Segundos Anuales</t>
  </si>
  <si>
    <t>2025 A6EX Segundos Anuales</t>
  </si>
  <si>
    <t>2025 A6MX Segundos Anuales</t>
  </si>
  <si>
    <t>2025 DTCM DJ Segundos Anuales</t>
  </si>
  <si>
    <t>2025 DTCM DT Segundos Anuales</t>
  </si>
  <si>
    <t>2025 DTCM KM Segundos Anuales</t>
  </si>
  <si>
    <t>2025 DTCM M182 Segundos Anuales</t>
  </si>
  <si>
    <t>2026 A4E4 Piezas Anuales</t>
  </si>
  <si>
    <t>2026 A5E2 Piezas Anuales</t>
  </si>
  <si>
    <t>2026 A6B3 Piezas Anuales</t>
  </si>
  <si>
    <t>2026 A6EX Piezas Anuales</t>
  </si>
  <si>
    <t>2026 A6MX Piezas Anuales</t>
  </si>
  <si>
    <t>2026 DTCM DJ Piezas Anuales</t>
  </si>
  <si>
    <t>2026 DTCM DT Piezas Anuales</t>
  </si>
  <si>
    <t>2026 DTCM KM Piezas Anuales</t>
  </si>
  <si>
    <t>2026 DTCM M182 Piezas Anuales</t>
  </si>
  <si>
    <t>2026 A4E4 Segundos Anuales</t>
  </si>
  <si>
    <t>2026 A5E2 Segundos Anuales</t>
  </si>
  <si>
    <t>2026 A6B3 Segundos Anuales</t>
  </si>
  <si>
    <t>2026 A6EX Segundos Anuales</t>
  </si>
  <si>
    <t>2026 A6MX Segundos Anuales</t>
  </si>
  <si>
    <t>2026 DTCM DJ Segundos Anuales</t>
  </si>
  <si>
    <t>2026 DTCM DT Segundos Anuales</t>
  </si>
  <si>
    <t>2026 DTCM KM Segundos Anuales</t>
  </si>
  <si>
    <t>2026 DTCM M182 Segundos Anuales</t>
  </si>
  <si>
    <t>2027 A4E4 Piezas Anuales</t>
  </si>
  <si>
    <t>2027 A5E2 Piezas Anuales</t>
  </si>
  <si>
    <t>2027 A6B3 Piezas Anuales</t>
  </si>
  <si>
    <t>2027 A6EX Piezas Anuales</t>
  </si>
  <si>
    <t>2027 A6MX Piezas Anuales</t>
  </si>
  <si>
    <t>2027 DTCM DJ Piezas Anuales</t>
  </si>
  <si>
    <t>2027 DTCM DT Piezas Anuales</t>
  </si>
  <si>
    <t>2027 DTCM KM Piezas Anuales</t>
  </si>
  <si>
    <t>2027 DTCM M182 Piezas Anuales</t>
  </si>
  <si>
    <t>2027 FORD-BECM Piezas Anuales</t>
  </si>
  <si>
    <t>2027 FERMAT Piezas Anuales</t>
  </si>
  <si>
    <t>2027 LAMOTTA Piezas Anuales</t>
  </si>
  <si>
    <t>2027 LAPLACE Piezas Anuales</t>
  </si>
  <si>
    <t>2027 A4E4 Segundos Anuales</t>
  </si>
  <si>
    <t>2027 A5E2 Segundos Anuales</t>
  </si>
  <si>
    <t>2027 A6B3 Segundos Anuales</t>
  </si>
  <si>
    <t>2027 A6EX Segundos Anuales</t>
  </si>
  <si>
    <t>2027 A6MX Segundos Anuales</t>
  </si>
  <si>
    <t>2027 DTCM DJ Segundos Anuales</t>
  </si>
  <si>
    <t>2027 DTCM DT Segundos Anuales</t>
  </si>
  <si>
    <t>2027 DTCM KM Segundos Anuales</t>
  </si>
  <si>
    <t>2027 DTCM M182 Segundos Anuales</t>
  </si>
  <si>
    <t>2027 FORD-BECM Segundos Anuales</t>
  </si>
  <si>
    <t>2027 FERMAT Segundos Anuales</t>
  </si>
  <si>
    <t>2027 LAMOTTA Segundos Anuales</t>
  </si>
  <si>
    <t>2027 LAPLACE Segundos Anuales</t>
  </si>
  <si>
    <t>2028 A4E4 Piezas Anuales</t>
  </si>
  <si>
    <t>2028 A5E2 Piezas Anuales</t>
  </si>
  <si>
    <t>2028 A6B3 Piezas Anuales</t>
  </si>
  <si>
    <t>2028 A6EX Piezas Anuales</t>
  </si>
  <si>
    <t>2028 A6MX Piezas Anuales</t>
  </si>
  <si>
    <t>2028 DTCM DJ Piezas Anuales</t>
  </si>
  <si>
    <t>2028 DTCM DT Piezas Anuales</t>
  </si>
  <si>
    <t>2028 DTCM KM Piezas Anuales</t>
  </si>
  <si>
    <t>2028 DTCM M182 Piezas Anuales</t>
  </si>
  <si>
    <t>2028 FORD-BECM Piezas Anuales</t>
  </si>
  <si>
    <t>2028 FERMAT Piezas Anuales</t>
  </si>
  <si>
    <t>2028 LAMOTTA Piezas Anuales</t>
  </si>
  <si>
    <t>2028 LAPLACE Piezas Anuales</t>
  </si>
  <si>
    <t>2028 A4E4 Segundos Anuales</t>
  </si>
  <si>
    <t>2028 A5E2 Segundos Anuales</t>
  </si>
  <si>
    <t>2028 A6B3 Segundos Anuales</t>
  </si>
  <si>
    <t>2028 A6EX Segundos Anuales</t>
  </si>
  <si>
    <t>2028 A6MX Segundos Anuales</t>
  </si>
  <si>
    <t>2028 DTCM DJ Segundos Anuales</t>
  </si>
  <si>
    <t>2028 DTCM DT Segundos Anuales</t>
  </si>
  <si>
    <t>2028 DTCM KM Segundos Anuales</t>
  </si>
  <si>
    <t>2028 DTCM M182 Segundos Anuales</t>
  </si>
  <si>
    <t>2028 FORD-BECM Segundos Anuales</t>
  </si>
  <si>
    <t>2028 FERMAT Segundos Anuales</t>
  </si>
  <si>
    <t>2028 LAMOTTA Segundos Anuales</t>
  </si>
  <si>
    <t>2028 LAPLACE Segundos Anuales</t>
  </si>
  <si>
    <t>2029 A4E4 Piezas Anuales</t>
  </si>
  <si>
    <t>2029 A5E2 Piezas Anuales</t>
  </si>
  <si>
    <t>2029 A6B3 Piezas Anuales</t>
  </si>
  <si>
    <t>2029 A6EX Piezas Anuales</t>
  </si>
  <si>
    <t>2029 A6MX Piezas Anuales</t>
  </si>
  <si>
    <t>2029 DTCM DJ Piezas Anuales</t>
  </si>
  <si>
    <t>2029 DTCM DT Piezas Anuales</t>
  </si>
  <si>
    <t>2029 DTCM KM Piezas Anuales</t>
  </si>
  <si>
    <t>2029 DTCM M182 Piezas Anuales</t>
  </si>
  <si>
    <t>2029 FORD-BECM Piezas Anuales</t>
  </si>
  <si>
    <t>2029 FERMAT Piezas Anuales</t>
  </si>
  <si>
    <t>2029 LAMOTTA Piezas Anuales</t>
  </si>
  <si>
    <t>2029 LAPLACE Piezas Anuales</t>
  </si>
  <si>
    <t>2029 A4E4 Segundos Anuales</t>
  </si>
  <si>
    <t>2029 A5E2 Segundos Anuales</t>
  </si>
  <si>
    <t>2029 A6B3 Segundos Anuales</t>
  </si>
  <si>
    <t>2029 A6EX Segundos Anuales</t>
  </si>
  <si>
    <t>2029 A6MX Segundos Anuales</t>
  </si>
  <si>
    <t>2029 DTCM DJ Segundos Anuales</t>
  </si>
  <si>
    <t>2029 DTCM DT Segundos Anuales</t>
  </si>
  <si>
    <t>2029 DTCM KM Segundos Anuales</t>
  </si>
  <si>
    <t>2029 DTCM M182 Segundos Anuales</t>
  </si>
  <si>
    <t>2029 FORD-BECM Segundos Anuales</t>
  </si>
  <si>
    <t>2029 FERMAT Segundos Anuales</t>
  </si>
  <si>
    <t>2029 LAMOTTA Segundos Anuales</t>
  </si>
  <si>
    <t>2029 LAPLACE Segundos Anuales</t>
  </si>
  <si>
    <t>2030 A4E4 Piezas Anuales</t>
  </si>
  <si>
    <t>2030 A5E2 Piezas Anuales</t>
  </si>
  <si>
    <t>2030 A6EX Piezas Anuales</t>
  </si>
  <si>
    <t>2030 A6MX Piezas Anuales</t>
  </si>
  <si>
    <t>2030 DTCM DJ Piezas Anuales</t>
  </si>
  <si>
    <t>2030 DTCM DT Piezas Anuales</t>
  </si>
  <si>
    <t>2030 DTCM KM Piezas Anuales</t>
  </si>
  <si>
    <t>2030 DTCM M182 Piezas Anuales</t>
  </si>
  <si>
    <t>2030 LAMOTTA Piezas Anuales</t>
  </si>
  <si>
    <t>2030 LAPLACE Piezas Anuales</t>
  </si>
  <si>
    <t>2030 A4E4 Segundos Anuales</t>
  </si>
  <si>
    <t>2030 A5E2 Segundos Anuales</t>
  </si>
  <si>
    <t>2030 A6EX Segundos Anuales</t>
  </si>
  <si>
    <t>2030 A6MX Segundos Anuales</t>
  </si>
  <si>
    <t>2030 DTCM DJ Segundos Anuales</t>
  </si>
  <si>
    <t>2030 DTCM DT Segundos Anuales</t>
  </si>
  <si>
    <t>2030 DTCM KM Segundos Anuales</t>
  </si>
  <si>
    <t>2030 DTCM M182 Segundos Anuales</t>
  </si>
  <si>
    <t>2030 LAMOTTA Segundos Anuales</t>
  </si>
  <si>
    <t>2030 LAPLACE Segundos Anuales</t>
  </si>
  <si>
    <t>2031 A4E4 Piezas Anuales</t>
  </si>
  <si>
    <t>2031 A5E2 Piezas Anuales</t>
  </si>
  <si>
    <t>2031 A6EX Piezas Anuales</t>
  </si>
  <si>
    <t>2031 A6MX Piezas Anuales</t>
  </si>
  <si>
    <t>2031 DTCM DJ Piezas Anuales</t>
  </si>
  <si>
    <t>2031 DTCM DT Piezas Anuales</t>
  </si>
  <si>
    <t>2031 DTCM KM Piezas Anuales</t>
  </si>
  <si>
    <t>2031 DTCM M182 Piezas Anuales</t>
  </si>
  <si>
    <t>2031 LAMOTTA Piezas Anuales</t>
  </si>
  <si>
    <t>2031 LAPLACE Piezas Anuales</t>
  </si>
  <si>
    <t>2031 A4E4 Segundos Anuales</t>
  </si>
  <si>
    <t>2031 A5E2 Segundos Anuales</t>
  </si>
  <si>
    <t>2031 A6EX Segundos Anuales</t>
  </si>
  <si>
    <t>2031 A6MX Segundos Anuales</t>
  </si>
  <si>
    <t>2031 DTCM DJ Segundos Anuales</t>
  </si>
  <si>
    <t>2031 DTCM DT Segundos Anuales</t>
  </si>
  <si>
    <t>2031 DTCM KM Segundos Anuales</t>
  </si>
  <si>
    <t>2031 DTCM M182 Segundos Anuales</t>
  </si>
  <si>
    <t>2031 LAMOTTA Segundos Anuales</t>
  </si>
  <si>
    <t>2031 LAPLACE Segundos Anuales</t>
  </si>
  <si>
    <t>2032 A4E4 Piezas Anuales</t>
  </si>
  <si>
    <t>2032 A5E2 Piezas Anuales</t>
  </si>
  <si>
    <t>2032 A6EX Piezas Anuales</t>
  </si>
  <si>
    <t>2032 A6MX Piezas Anuales</t>
  </si>
  <si>
    <t>2032 DTCM DJ Piezas Anuales</t>
  </si>
  <si>
    <t>2032 DTCM DT Piezas Anuales</t>
  </si>
  <si>
    <t>2032 DTCM KM Piezas Anuales</t>
  </si>
  <si>
    <t>2032 LAMOTTA Piezas Anuales</t>
  </si>
  <si>
    <t>2032 LAPLACE Piezas Anuales</t>
  </si>
  <si>
    <t>2032 A4E4 Segundos Anuales</t>
  </si>
  <si>
    <t>2032 A5E2 Segundos Anuales</t>
  </si>
  <si>
    <t>2032 A6EX Segundos Anuales</t>
  </si>
  <si>
    <t>2032 A6MX Segundos Anuales</t>
  </si>
  <si>
    <t>2032 DTCM DJ Segundos Anuales</t>
  </si>
  <si>
    <t>2032 DTCM DT Segundos Anuales</t>
  </si>
  <si>
    <t>2032 DTCM KM Segundos Anuales</t>
  </si>
  <si>
    <t>2032 LAMOTTA Segundos Anuales</t>
  </si>
  <si>
    <t>2032 LAPLACE Segundos Anuales</t>
  </si>
  <si>
    <t>2033 A6EX Piezas Anuales</t>
  </si>
  <si>
    <t>2033 DTCM DJ Piezas Anuales</t>
  </si>
  <si>
    <t>2033 DTCM DT Piezas Anuales</t>
  </si>
  <si>
    <t>2033 DTCM KM Piezas Anuales</t>
  </si>
  <si>
    <t>2033 A6EX Segundos Anuales</t>
  </si>
  <si>
    <t>2033 DTCM DJ Segundos Anuales</t>
  </si>
  <si>
    <t>2033 DTCM DT Segundos Anuales</t>
  </si>
  <si>
    <t>2033 DTCM KM Segundos Anuales</t>
  </si>
  <si>
    <t>2034 A6EX Piezas Anuales</t>
  </si>
  <si>
    <t>2034 A6EX Segundos Anuales</t>
  </si>
  <si>
    <t>WS 1</t>
  </si>
  <si>
    <t>60.59%</t>
  </si>
  <si>
    <t>99.88%</t>
  </si>
  <si>
    <t>WS 2</t>
  </si>
  <si>
    <t>93.14%</t>
  </si>
  <si>
    <t>92.71%</t>
  </si>
  <si>
    <t>82.81%</t>
  </si>
  <si>
    <t>99.93%</t>
  </si>
  <si>
    <t>WS 3</t>
  </si>
  <si>
    <t>20.71%</t>
  </si>
  <si>
    <t>25.74%</t>
  </si>
  <si>
    <t>31.95%</t>
  </si>
  <si>
    <t>29.65%</t>
  </si>
  <si>
    <t>78.29%</t>
  </si>
  <si>
    <t>40.83%</t>
  </si>
  <si>
    <t>36.39%</t>
  </si>
  <si>
    <t>WS 4</t>
  </si>
  <si>
    <t>34.79%</t>
  </si>
  <si>
    <t>22.31%</t>
  </si>
  <si>
    <t>4.21%</t>
  </si>
  <si>
    <t>WS 5</t>
  </si>
  <si>
    <t>28.00%</t>
  </si>
  <si>
    <t>37.57%</t>
  </si>
  <si>
    <t>58.16%</t>
  </si>
  <si>
    <t>60.44%</t>
  </si>
  <si>
    <t>WS 6</t>
  </si>
  <si>
    <t>22.77%</t>
  </si>
  <si>
    <t>94.96%</t>
  </si>
  <si>
    <t>WS 7</t>
  </si>
  <si>
    <t>WS 8</t>
  </si>
  <si>
    <t>2024 Allison Gen 5 Piezas Anuales</t>
  </si>
  <si>
    <t>2024 Allison Gen 6 Piezas Anuales</t>
  </si>
  <si>
    <t>2024 Allison Gen 5 Segundos Anuales</t>
  </si>
  <si>
    <t>2024 Allison Gen 6 Segundos Anuales</t>
  </si>
  <si>
    <t>2025 Allison Gen 5 Piezas Anuales</t>
  </si>
  <si>
    <t>2025 Allison Gen 6 Piezas Anuales</t>
  </si>
  <si>
    <t>2025 Allison Gen 5 Segundos Anuales</t>
  </si>
  <si>
    <t>2025 Allison Gen 6 Segundos Anuales</t>
  </si>
  <si>
    <t>2026 Allison Gen 6 Piezas Anuales</t>
  </si>
  <si>
    <t>2026 Allison Gen 6 Segundos Anuales</t>
  </si>
  <si>
    <t>2027 Allison Gen 5 Piezas Anuales</t>
  </si>
  <si>
    <t>2027 Allison Gen 6 Piezas Anuales</t>
  </si>
  <si>
    <t>2027 IPWM Piezas Anuales</t>
  </si>
  <si>
    <t>2027 Allison Gen 5 Segundos Anuales</t>
  </si>
  <si>
    <t>2027 Allison Gen 6 Segundos Anuales</t>
  </si>
  <si>
    <t>2027 IPWM Segundos Anuales</t>
  </si>
  <si>
    <t>2028 Allison Gen 5 Piezas Anuales</t>
  </si>
  <si>
    <t>2028 Allison Gen 6 Piezas Anuales</t>
  </si>
  <si>
    <t>2028 IPWM Piezas Anuales</t>
  </si>
  <si>
    <t>2028 Allison Gen 5 Segundos Anuales</t>
  </si>
  <si>
    <t>2028 Allison Gen 6 Segundos Anuales</t>
  </si>
  <si>
    <t>2028 IPWM Segundos Anuales</t>
  </si>
  <si>
    <t>2029 Allison Gen 5 Piezas Anuales</t>
  </si>
  <si>
    <t>2029 Allison Gen 6 Piezas Anuales</t>
  </si>
  <si>
    <t>2029 IPWM Piezas Anuales</t>
  </si>
  <si>
    <t>2029 Allison Gen 5 Segundos Anuales</t>
  </si>
  <si>
    <t>2029 Allison Gen 6 Segundos Anuales</t>
  </si>
  <si>
    <t>2029 IPWM Segundos Anuales</t>
  </si>
  <si>
    <t>2030 Allison Gen 5 Piezas Anuales</t>
  </si>
  <si>
    <t>2030 Allison Gen 6 Piezas Anuales</t>
  </si>
  <si>
    <t>2030 Allison Gen 5 Segundos Anuales</t>
  </si>
  <si>
    <t>2030 Allison Gen 6 Segundos Anuales</t>
  </si>
  <si>
    <t>ICT 1</t>
  </si>
  <si>
    <t>41.54%</t>
  </si>
  <si>
    <t>54.16%</t>
  </si>
  <si>
    <t>29.97%</t>
  </si>
  <si>
    <t>62.74%</t>
  </si>
  <si>
    <t>64.49%</t>
  </si>
  <si>
    <t>64.82%</t>
  </si>
  <si>
    <t>63.83%</t>
  </si>
  <si>
    <t>62.08%</t>
  </si>
  <si>
    <t>61.82%</t>
  </si>
  <si>
    <t>11.36%</t>
  </si>
  <si>
    <t>13.21%</t>
  </si>
  <si>
    <t>ICT 2</t>
  </si>
  <si>
    <t>65.58%</t>
  </si>
  <si>
    <t>99.94%</t>
  </si>
  <si>
    <t>ICT 3</t>
  </si>
  <si>
    <t>73.64%</t>
  </si>
  <si>
    <t>57.99%</t>
  </si>
  <si>
    <t>15.01%</t>
  </si>
  <si>
    <t>57.51%</t>
  </si>
  <si>
    <t>59.58%</t>
  </si>
  <si>
    <t>61.70%</t>
  </si>
  <si>
    <t>65.15%</t>
  </si>
  <si>
    <t>ICT 4</t>
  </si>
  <si>
    <t>72.80%</t>
  </si>
  <si>
    <t>53.82%</t>
  </si>
  <si>
    <t>3.19%</t>
  </si>
  <si>
    <t>38.31%</t>
  </si>
  <si>
    <t>28.21%</t>
  </si>
  <si>
    <t>2.74%</t>
  </si>
  <si>
    <t>0.51%</t>
  </si>
  <si>
    <t>0.43%</t>
  </si>
  <si>
    <t>0.30%</t>
  </si>
  <si>
    <t>ICT 5</t>
  </si>
  <si>
    <t>94.09%</t>
  </si>
  <si>
    <t>93.91%</t>
  </si>
  <si>
    <t>62.89%</t>
  </si>
  <si>
    <t>68.69%</t>
  </si>
  <si>
    <t>65.71%</t>
  </si>
  <si>
    <t>12.07%</t>
  </si>
  <si>
    <t>ICT 6</t>
  </si>
  <si>
    <t>26.97%</t>
  </si>
  <si>
    <t>9.40%</t>
  </si>
  <si>
    <t>ICT 7</t>
  </si>
  <si>
    <t>57.69%</t>
  </si>
  <si>
    <t>48.98%</t>
  </si>
  <si>
    <t>ICT 8</t>
  </si>
  <si>
    <t>30.21%</t>
  </si>
  <si>
    <t>98.03%</t>
  </si>
  <si>
    <t>22.91%</t>
  </si>
  <si>
    <t>82.25%</t>
  </si>
  <si>
    <t>77.07%</t>
  </si>
  <si>
    <t>74.17%</t>
  </si>
  <si>
    <t>74.95%</t>
  </si>
  <si>
    <t>80.83%</t>
  </si>
  <si>
    <t>80.70%</t>
  </si>
  <si>
    <t>ICT 9</t>
  </si>
  <si>
    <t>30.22%</t>
  </si>
  <si>
    <t>19.38%</t>
  </si>
  <si>
    <t>3.66%</t>
  </si>
  <si>
    <t>ICT 10</t>
  </si>
  <si>
    <t>11.25%</t>
  </si>
  <si>
    <t>19.25%</t>
  </si>
  <si>
    <t>36.59%</t>
  </si>
  <si>
    <t>39.03%</t>
  </si>
  <si>
    <t>92.84%</t>
  </si>
  <si>
    <t>ICT 11</t>
  </si>
  <si>
    <t>55.57%</t>
  </si>
  <si>
    <t>78.47%</t>
  </si>
  <si>
    <t>ICT 12</t>
  </si>
  <si>
    <t>69.44%</t>
  </si>
  <si>
    <t>98.91%</t>
  </si>
  <si>
    <t>ICT 13</t>
  </si>
  <si>
    <t>0.81%</t>
  </si>
  <si>
    <t>28.82%</t>
  </si>
  <si>
    <t>52.72%</t>
  </si>
  <si>
    <t>ICT 14</t>
  </si>
  <si>
    <t>13.08%</t>
  </si>
  <si>
    <t>12.45%</t>
  </si>
  <si>
    <t>9.32%</t>
  </si>
  <si>
    <t>ICT 15</t>
  </si>
  <si>
    <t>ICT 16</t>
  </si>
  <si>
    <t>10.73%</t>
  </si>
  <si>
    <t>5.37%</t>
  </si>
  <si>
    <t>2027 Toyota Piezas Anuales</t>
  </si>
  <si>
    <t>2027 Toyota Segundos Anuales</t>
  </si>
  <si>
    <t>2028 GM P0SW130 Motor Piezas Anuales</t>
  </si>
  <si>
    <t>2028 Toyota Piezas Anuales</t>
  </si>
  <si>
    <t>2028 GM P0SW130 Motor Segundos Anuales</t>
  </si>
  <si>
    <t>2028 Toyota Segundos Anuales</t>
  </si>
  <si>
    <t>2029 GM P0SW130 Motor Piezas Anuales</t>
  </si>
  <si>
    <t>2029 GM P0SW130 Motor Segundos Anuales</t>
  </si>
  <si>
    <t>2030 GM P0SW130 Motor Piezas Anuales</t>
  </si>
  <si>
    <t>2030 GM P0SW130 Motor Segundos Anuales</t>
  </si>
  <si>
    <t>2031 GM P0SW130 Motor Piezas Anuales</t>
  </si>
  <si>
    <t>2031 GM P0SW130 Motor Segundos Anuales</t>
  </si>
  <si>
    <t>2032 GM P0SW130 Motor Piezas Anuales</t>
  </si>
  <si>
    <t>2032 GM P0SW130 Motor Segundos Anuales</t>
  </si>
  <si>
    <t>2033 GM P0SW130 Motor Piezas Anuales</t>
  </si>
  <si>
    <t>2033 GM P0SW130 Motor Segundos Anuales</t>
  </si>
  <si>
    <t>2034 GM P0SW130 Motor Piezas Anuales</t>
  </si>
  <si>
    <t>2034 GM P0SW130 Motor Segundos Anuales</t>
  </si>
  <si>
    <t>SMT 2</t>
  </si>
  <si>
    <t>58.59%</t>
  </si>
  <si>
    <t>74.30%</t>
  </si>
  <si>
    <t>41.67%</t>
  </si>
  <si>
    <t>SMT 3</t>
  </si>
  <si>
    <t>27.74%</t>
  </si>
  <si>
    <t>SMT 4</t>
  </si>
  <si>
    <t>37.28%</t>
  </si>
  <si>
    <t>SMT 5</t>
  </si>
  <si>
    <t>24.36%</t>
  </si>
  <si>
    <t>SMT 6</t>
  </si>
  <si>
    <t>SMT 7</t>
  </si>
  <si>
    <t>81.12%</t>
  </si>
  <si>
    <t>79.14%</t>
  </si>
  <si>
    <t>SMT 8</t>
  </si>
  <si>
    <t>14.18%</t>
  </si>
  <si>
    <t>17.18%</t>
  </si>
  <si>
    <t>SMT 9</t>
  </si>
  <si>
    <t>12.06%</t>
  </si>
  <si>
    <t>73.18%</t>
  </si>
  <si>
    <t>46.61%</t>
  </si>
  <si>
    <t>67.44%</t>
  </si>
  <si>
    <t>SMT 10</t>
  </si>
  <si>
    <t>60.25%</t>
  </si>
  <si>
    <t>SMT 11</t>
  </si>
  <si>
    <t>25.17%</t>
  </si>
  <si>
    <t>SMT 12</t>
  </si>
  <si>
    <t>Familia</t>
  </si>
  <si>
    <t>Dias Operacion Anual</t>
  </si>
  <si>
    <t>A4M1</t>
  </si>
  <si>
    <t>A4E4</t>
  </si>
  <si>
    <t>A5E2</t>
  </si>
  <si>
    <t>A5MX</t>
  </si>
  <si>
    <t>A6EX</t>
  </si>
  <si>
    <t>A6MX</t>
  </si>
  <si>
    <t>A6B3</t>
  </si>
  <si>
    <t>ETC7</t>
  </si>
  <si>
    <t>DAF</t>
  </si>
  <si>
    <t>Caterpillar</t>
  </si>
  <si>
    <t>GKN</t>
  </si>
  <si>
    <t>DTCM DJ</t>
  </si>
  <si>
    <t>DTCM DT</t>
  </si>
  <si>
    <t>DTCM KM</t>
  </si>
  <si>
    <t>DTCM M182</t>
  </si>
  <si>
    <t>DTCM</t>
  </si>
  <si>
    <t>Allison Gen 5</t>
  </si>
  <si>
    <t>Allison Gen 6</t>
  </si>
  <si>
    <t>Allison</t>
  </si>
  <si>
    <t>GPEC5</t>
  </si>
  <si>
    <t>GPEC5 LATAM</t>
  </si>
  <si>
    <t>PIM 400V</t>
  </si>
  <si>
    <t>PIM 800V</t>
  </si>
  <si>
    <t>GPIM</t>
  </si>
  <si>
    <t>FERMAT</t>
  </si>
  <si>
    <t>LAPLACE</t>
  </si>
  <si>
    <t>LAMOTTA</t>
  </si>
  <si>
    <t>E80</t>
  </si>
  <si>
    <t>IPWM</t>
  </si>
  <si>
    <t>LEB BMW AG-45</t>
  </si>
  <si>
    <t>LEB BMW AG-71</t>
  </si>
  <si>
    <t>CHARGER</t>
  </si>
  <si>
    <t>FORD-BECM</t>
  </si>
  <si>
    <t>GMTPIM</t>
  </si>
  <si>
    <t>CASCADIA CM350 iSiC, im-375</t>
  </si>
  <si>
    <t>CASCADIA CM350 SiC</t>
  </si>
  <si>
    <t>GM OBCM- 1 Phase</t>
  </si>
  <si>
    <t>GM OBCM- 3 Phase</t>
  </si>
  <si>
    <t>Voodoo</t>
  </si>
  <si>
    <t>Toyota</t>
  </si>
  <si>
    <t>GM P0SW130 Motor</t>
  </si>
  <si>
    <t>BMW Inverter</t>
  </si>
  <si>
    <t>Ford_Power Motor + Gear Box</t>
  </si>
  <si>
    <t>BU</t>
  </si>
  <si>
    <t>Area</t>
  </si>
  <si>
    <t>Nombre</t>
  </si>
  <si>
    <t>Lado</t>
  </si>
  <si>
    <t>Tiempo de ciclo</t>
  </si>
  <si>
    <t>Cantidad Por Producto</t>
  </si>
  <si>
    <t>Lineas_compatibles</t>
  </si>
  <si>
    <t>Prioridad</t>
  </si>
  <si>
    <t>Eficiencia</t>
  </si>
  <si>
    <t>Electrification</t>
  </si>
  <si>
    <t>Test</t>
  </si>
  <si>
    <t xml:space="preserve">PIM Cotrol </t>
  </si>
  <si>
    <t>Top</t>
  </si>
  <si>
    <t>Test Cell 400 1,Test Cell 400 2</t>
  </si>
  <si>
    <t xml:space="preserve">PIM 800V Cotrol </t>
  </si>
  <si>
    <t>GPIM Control</t>
  </si>
  <si>
    <t>nombre</t>
  </si>
  <si>
    <t>tiempo_disponible</t>
  </si>
  <si>
    <t>eficiencia</t>
  </si>
  <si>
    <t>Electronics</t>
  </si>
  <si>
    <t>Final Assembly</t>
  </si>
  <si>
    <t xml:space="preserve">GKN </t>
  </si>
  <si>
    <t xml:space="preserve">GPEC 5 </t>
  </si>
  <si>
    <t>FA Auto 1,FA Auto 2,FA Auto 3,FA Auto 4</t>
  </si>
  <si>
    <t>Wave Solder</t>
  </si>
  <si>
    <t>Cat A4M1</t>
  </si>
  <si>
    <t>Cat A4E4 Main bd</t>
  </si>
  <si>
    <t>Cat A5E2 Lead free</t>
  </si>
  <si>
    <t>Cat A5MX Lead free</t>
  </si>
  <si>
    <t>Cat A6EX</t>
  </si>
  <si>
    <t>Cat A6MX</t>
  </si>
  <si>
    <t>Cat A6B3</t>
  </si>
  <si>
    <t>Cat A7</t>
  </si>
  <si>
    <t>WS 3,WS 4, WS 5,WS 6,WS 7,WS 8</t>
  </si>
  <si>
    <t xml:space="preserve">PIM Power </t>
  </si>
  <si>
    <t xml:space="preserve">PIM Filtre </t>
  </si>
  <si>
    <t xml:space="preserve">PIM Current sensor </t>
  </si>
  <si>
    <t xml:space="preserve">PIM Ultra Cap </t>
  </si>
  <si>
    <t xml:space="preserve">PIM 800V Power </t>
  </si>
  <si>
    <t xml:space="preserve">PIM 800V Filtre </t>
  </si>
  <si>
    <t xml:space="preserve">PIM 800V Current sensor </t>
  </si>
  <si>
    <t xml:space="preserve">PIM 800V Ultra Cap </t>
  </si>
  <si>
    <t>PIM 800V LV Connector</t>
  </si>
  <si>
    <t>GPIM Gate</t>
  </si>
  <si>
    <t>GPIM Ultra Cap</t>
  </si>
  <si>
    <t>GPIM Filtre</t>
  </si>
  <si>
    <t>GPIM  Current sensor</t>
  </si>
  <si>
    <t>ICT</t>
  </si>
  <si>
    <t>ICT 1,ICT 2</t>
  </si>
  <si>
    <t xml:space="preserve">Allison Gen 5 </t>
  </si>
  <si>
    <t xml:space="preserve">Allison Gen 6  </t>
  </si>
  <si>
    <t>ICT 5,ICT 6,ICT 7,ICT 8</t>
  </si>
  <si>
    <t xml:space="preserve">PIM Control </t>
  </si>
  <si>
    <t>ICT 9,ICT 10,ICT 11,ICT 12,ICT 13,ICT 14,ICT 15,ICT 16,ICT 17,ICT 18,ICT 19,ICT 20</t>
  </si>
  <si>
    <t xml:space="preserve">PIM 800V Control </t>
  </si>
  <si>
    <t>ICT 17</t>
  </si>
  <si>
    <t>ICT 18</t>
  </si>
  <si>
    <t>ICT 19</t>
  </si>
  <si>
    <t>ICT 20</t>
  </si>
  <si>
    <t>SMT</t>
  </si>
  <si>
    <t>Bottom</t>
  </si>
  <si>
    <t>Cat A4E4 Power bd</t>
  </si>
  <si>
    <t>Cat A6EX Power Board</t>
  </si>
  <si>
    <t>Fermat</t>
  </si>
  <si>
    <t xml:space="preserve">Fermat </t>
  </si>
  <si>
    <t>Laplace</t>
  </si>
  <si>
    <t xml:space="preserve">Laplace </t>
  </si>
  <si>
    <t>LaMotta</t>
  </si>
  <si>
    <t xml:space="preserve">LaMotta </t>
  </si>
  <si>
    <t xml:space="preserve">IPWM </t>
  </si>
  <si>
    <t xml:space="preserve">Allison Gen 6 </t>
  </si>
  <si>
    <t>SMT 4,SMT 5,SMT 6,SMT 7</t>
  </si>
  <si>
    <t>SMT 7,SMT 8,SMT 9,SMT 10,SMT 11,SMT 12,SMT 13</t>
  </si>
  <si>
    <t>SMT 13</t>
  </si>
  <si>
    <t>Correr calculo con 288 dias para ver utilizacion de SMT en 6 dias para ambas plantas</t>
  </si>
  <si>
    <t>Corriendo a 288 dias tambien podriamos ver utilizacion del pim considero, Ws estan separadas, 1,2,3 legacy, 4,5,6 son de PIM, ICTs 9,10,11 son de PIM</t>
  </si>
  <si>
    <t>Correr calculo a 240 dias para las lineas finales de Legacy, ICTs de 1-8, WS de 1-3, FA all lines</t>
  </si>
  <si>
    <t>Falto integrar los 189 K pcs to GPEC 2025</t>
  </si>
  <si>
    <t>Falto correr 2026 con as cantidades y los dias</t>
  </si>
  <si>
    <t>Primero corremos modelo para volumenes y tiempos de reynosa 2025</t>
  </si>
  <si>
    <t>Segundo, corremos modelo para 2026 Reynosa con el tiempo acorde al programa, en Reynosa 144 dias o 72 dias, GPEC de Enero a Junio 2026</t>
  </si>
  <si>
    <t>Tercero corremos modelo para 2026 SLP con el tiempo acorde al programa en SLP, 144, 216 dias etc (GPEC De julio a Diciembre 2026)</t>
  </si>
  <si>
    <t>Cuarto corremos modelo a 288 dias estandar para todo en SLP, apartir de 2027 a 2034</t>
  </si>
  <si>
    <t>Despues corremos modelos para volumenes y tiempos de SLP 2025, 2026</t>
  </si>
  <si>
    <t>Nota</t>
  </si>
  <si>
    <t>Al agregar nuevos modelos de produccino</t>
  </si>
  <si>
    <t>Agregar modelos tanto en tab Modelos como en tab Volumenes_Produccion</t>
  </si>
  <si>
    <t>En el tab Modelos, verificar que tengan el area correcta</t>
  </si>
  <si>
    <t>Verificar que este el mismo nombre en las columnas "Familia" de ambos tabs Volumenes_Produccion como tab Modelos</t>
  </si>
  <si>
    <t>BEV2-2 Dual Inverter 400V</t>
  </si>
  <si>
    <t>BEV2-2 Single Inverter 400V</t>
  </si>
  <si>
    <t>ICT 2,ICT 5,ICT 6,ICT 7,ICT 8</t>
  </si>
  <si>
    <t>ICT 9,ICT 10,ICT 11</t>
  </si>
  <si>
    <t>control board</t>
  </si>
  <si>
    <t>OBC power board</t>
  </si>
  <si>
    <t>PFC Power board</t>
  </si>
  <si>
    <t>Power board</t>
  </si>
  <si>
    <t>Gate board</t>
  </si>
  <si>
    <t>Current sense board</t>
  </si>
  <si>
    <t>Control board</t>
  </si>
  <si>
    <t>Control</t>
  </si>
  <si>
    <t>TEM</t>
  </si>
  <si>
    <t>Converter</t>
  </si>
  <si>
    <t>HVSGR</t>
  </si>
  <si>
    <t>IMS</t>
  </si>
  <si>
    <t>Ford Board</t>
  </si>
  <si>
    <t>Main PCBA- Side A</t>
  </si>
  <si>
    <t>HVAC Current Sense</t>
  </si>
  <si>
    <t>Charger control board</t>
  </si>
  <si>
    <t>Charger power board</t>
  </si>
  <si>
    <t>HVDC Filter Board</t>
  </si>
  <si>
    <t>Harley Davidson top</t>
  </si>
  <si>
    <t>SMT 2,SMT 3,SMT 4,SMT 5,SMT 6,SMT 7,SMT 8,SMT 9,SMT 10,SMT 11,SMT 12</t>
  </si>
  <si>
    <t>Harley Davidson bottom</t>
  </si>
  <si>
    <t>Laplace top</t>
  </si>
  <si>
    <t>Laplace bottom</t>
  </si>
  <si>
    <t>LaMotta top</t>
  </si>
  <si>
    <t>LaMotta bottom</t>
  </si>
  <si>
    <t>SMT 3,SMT 4</t>
  </si>
  <si>
    <t>SMT 5,SMT 6,SMT 7</t>
  </si>
  <si>
    <t>SMT 5,SMT 6,SMT 7,SMT 8,SMT 9,SMT 10,SMT 11,SMT 12</t>
  </si>
  <si>
    <t>IMS Top</t>
  </si>
  <si>
    <t>Converter Top</t>
  </si>
  <si>
    <t>Converter Bottom</t>
  </si>
  <si>
    <t>Control Top</t>
  </si>
  <si>
    <t>Control Bottom</t>
  </si>
  <si>
    <t>TEM Top</t>
  </si>
  <si>
    <t>TEM Bottom</t>
  </si>
  <si>
    <t>HVSGR Top</t>
  </si>
  <si>
    <t>HVSGR Bottom</t>
  </si>
  <si>
    <t>Filter Board</t>
  </si>
  <si>
    <t>Charger power board Top</t>
  </si>
  <si>
    <t>Charger power board Bottom</t>
  </si>
  <si>
    <t>Charger control board Top</t>
  </si>
  <si>
    <t>Charger control board Bottom</t>
  </si>
  <si>
    <t>Ford Board Top</t>
  </si>
  <si>
    <t>Ford Board Bottom</t>
  </si>
  <si>
    <t>Power Top</t>
  </si>
  <si>
    <t>Power Bottom</t>
  </si>
  <si>
    <t>Gate Top</t>
  </si>
  <si>
    <t>Gate Bottom</t>
  </si>
  <si>
    <t>Current sense</t>
  </si>
  <si>
    <t>Sensor</t>
  </si>
  <si>
    <t>Cap</t>
  </si>
  <si>
    <t>Top control board</t>
  </si>
  <si>
    <t>Bottom Control board</t>
  </si>
  <si>
    <t>Top OBC power board</t>
  </si>
  <si>
    <t>Bottom OBC power board</t>
  </si>
  <si>
    <t>Top PFC Power board</t>
  </si>
  <si>
    <t>Bottom PFC Power board</t>
  </si>
  <si>
    <t>Top 1 Phase AC Filter</t>
  </si>
  <si>
    <t>Bottom 1 Phase AC Filter</t>
  </si>
  <si>
    <t>Top DC Filter</t>
  </si>
  <si>
    <t>Bottom DC Filter</t>
  </si>
  <si>
    <t>Top 3 Phase AC Filter</t>
  </si>
  <si>
    <t>Bottom 3 Phase AC Filter</t>
  </si>
  <si>
    <t>Motor</t>
  </si>
  <si>
    <t>Main PCBA- Side B</t>
  </si>
  <si>
    <t>WS 1,WS 2,WS 3,WS 4,WS 5,WS 6,WS 7,WS 8</t>
  </si>
  <si>
    <t>WS 4, WS 5,WS 6</t>
  </si>
  <si>
    <t>Bulk cap 1 (Capside)</t>
  </si>
  <si>
    <t>Bulk cap 2 (2 metal parts)</t>
  </si>
  <si>
    <t>SPA Y cap</t>
  </si>
  <si>
    <t>Selective Solder</t>
  </si>
  <si>
    <t>Conformal</t>
  </si>
  <si>
    <t>Conformal 1,Conformal 2,Conformal 3,Conformal 4,Conformal 5</t>
  </si>
  <si>
    <t>Router</t>
  </si>
  <si>
    <t>Router 1,Router 2,Router 3,Router 4,Router 5</t>
  </si>
  <si>
    <t>FSW</t>
  </si>
  <si>
    <t>FSW Leak Test (GPIM)</t>
  </si>
  <si>
    <t>FSW 1,FSW 2,FSW 3,FSW 4,FSW 5</t>
  </si>
  <si>
    <t>LEB Housing</t>
  </si>
  <si>
    <t>LEB Mainfolds</t>
  </si>
  <si>
    <t>Charger Housing</t>
  </si>
  <si>
    <t>GM TPIM Housing</t>
  </si>
  <si>
    <t>E80 Housing</t>
  </si>
  <si>
    <t>Housing FSW</t>
  </si>
  <si>
    <t>Dual Housing</t>
  </si>
  <si>
    <t>Single Housing</t>
  </si>
  <si>
    <t>Subassembly</t>
  </si>
  <si>
    <t>HVDC</t>
  </si>
  <si>
    <t>HVDC 1,HVDC 2,HVDC 3,HVDC 4,HVDC 5</t>
  </si>
  <si>
    <t>HVAC</t>
  </si>
  <si>
    <t>HVAC 1,HVAC 2,HVAC 3,HVAC 4,HVAC 5</t>
  </si>
  <si>
    <t>GDB Subassy</t>
  </si>
  <si>
    <t>GDB Subassy 1,GDB Subassy 2,GDB Subassy 3,GDB Subassy 4,GDB Subassy 5</t>
  </si>
  <si>
    <t>HVIL</t>
  </si>
  <si>
    <t>HVIL 1,HVIL 2</t>
  </si>
  <si>
    <t>Molykote</t>
  </si>
  <si>
    <t>Molykote 1,Molykote 2,Molykote 3</t>
  </si>
  <si>
    <t>Viper Installed</t>
  </si>
  <si>
    <t>Viper Installed 1,Viper Installed 2,Viper Installed 3,Viper Installed 4</t>
  </si>
  <si>
    <t>NVH PAD (400V 250/150)</t>
  </si>
  <si>
    <t>FSW Leak Test (400V 800V)</t>
  </si>
  <si>
    <t>FSW Leak Test (400V 800V) 1,FSW Leak Test (400V 800V) 2</t>
  </si>
  <si>
    <t>AC Junction (GPIM)</t>
  </si>
  <si>
    <t>AC Junction (GPIM) 1,AC Junction (GPIM) 2</t>
  </si>
  <si>
    <t>Coolant Port (GPIM)</t>
  </si>
  <si>
    <t>Coolant Port (GPIM) 1,Coolant Port (GPIM) 2</t>
  </si>
  <si>
    <t>DC Junction (GPIM)</t>
  </si>
  <si>
    <t>DC Junction (GPIM) 1,DC Junction (GPIM) 2,DC Junction (GPIM) 3</t>
  </si>
  <si>
    <t>Cat</t>
  </si>
  <si>
    <t>All</t>
  </si>
  <si>
    <t>GKN/DTCM</t>
  </si>
  <si>
    <t>GPEC</t>
  </si>
  <si>
    <t>x</t>
  </si>
  <si>
    <t>SLP</t>
  </si>
  <si>
    <t>Selective Solder KMS</t>
  </si>
  <si>
    <t>PIM</t>
  </si>
  <si>
    <t>Conformal_Coating_GMOBCM</t>
  </si>
  <si>
    <t>Conformal Coating KMS</t>
  </si>
  <si>
    <t>ROUTER 1 KMS</t>
  </si>
  <si>
    <t>Routing GMOBCM</t>
  </si>
  <si>
    <t>GM OBCM</t>
  </si>
  <si>
    <t>LEB, CHARGER, GMTPIM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</si>
</sst>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%"/>
    <numFmt numFmtId="165" formatCode="#,##0.000"/>
    <numFmt numFmtId="166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d7e4bd"/>
      </patternFill>
    </fill>
    <fill>
      <patternFill patternType="solid">
        <fgColor rgb="FFffff00"/>
      </patternFill>
    </fill>
    <fill>
      <patternFill patternType="solid">
        <fgColor rgb="FFc3d69b"/>
      </patternFill>
    </fill>
    <fill>
      <patternFill patternType="solid">
        <fgColor rgb="FFdbeef4"/>
      </patternFill>
    </fill>
    <fill>
      <patternFill patternType="solid">
        <fgColor rgb="FFe6e0ec"/>
      </patternFill>
    </fill>
    <fill>
      <patternFill patternType="solid">
        <fgColor rgb="FFf2dcdb"/>
      </patternFill>
    </fill>
    <fill>
      <patternFill patternType="solid">
        <fgColor rgb="FFc4bd97"/>
      </patternFill>
    </fill>
    <fill>
      <patternFill patternType="solid">
        <fgColor rgb="FFcc99ff"/>
      </patternFill>
    </fill>
    <fill>
      <patternFill patternType="solid">
        <fgColor rgb="FFd9d9d9"/>
      </patternFill>
    </fill>
    <fill>
      <patternFill patternType="solid">
        <fgColor rgb="FFe6b9b8"/>
      </patternFill>
    </fill>
    <fill>
      <patternFill patternType="solid">
        <fgColor rgb="FFccc1da"/>
      </patternFill>
    </fill>
    <fill>
      <patternFill patternType="solid">
        <fgColor rgb="FFfac090"/>
      </patternFill>
    </fill>
    <fill>
      <patternFill patternType="solid">
        <fgColor rgb="FF92d050"/>
      </patternFill>
    </fill>
    <fill>
      <patternFill patternType="solid">
        <fgColor rgb="FF8eb4e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1" applyBorder="1" fontId="1" applyFont="1" fillId="0" applyAlignment="1">
      <alignment horizontal="left" wrapText="1"/>
    </xf>
    <xf xfId="0" numFmtId="4" applyNumberFormat="1" borderId="0" fontId="0" fillId="0" applyAlignment="1">
      <alignment horizontal="right" wrapText="1"/>
    </xf>
    <xf xfId="0" numFmtId="4" applyNumberFormat="1" borderId="1" applyBorder="1" fontId="1" applyFont="1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right" wrapText="1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2" applyNumberFormat="1" borderId="2" applyBorder="1" fontId="2" applyFont="1" fillId="0" applyAlignment="1">
      <alignment horizontal="center"/>
    </xf>
    <xf xfId="0" numFmtId="0" borderId="3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3" applyNumberFormat="1" borderId="3" applyBorder="1" fontId="1" applyFont="1" fillId="3" applyFill="1" applyAlignment="1">
      <alignment horizontal="right"/>
    </xf>
    <xf xfId="0" numFmtId="3" applyNumberFormat="1" borderId="3" applyBorder="1" fontId="1" applyFont="1" fillId="4" applyFill="1" applyAlignment="1">
      <alignment horizontal="right"/>
    </xf>
    <xf xfId="0" numFmtId="3" applyNumberFormat="1" borderId="3" applyBorder="1" fontId="1" applyFont="1" fillId="5" applyFill="1" applyAlignment="1">
      <alignment horizontal="right"/>
    </xf>
    <xf xfId="0" numFmtId="3" applyNumberFormat="1" borderId="3" applyBorder="1" fontId="1" applyFont="1" fillId="6" applyFill="1" applyAlignment="1">
      <alignment horizontal="right"/>
    </xf>
    <xf xfId="0" numFmtId="3" applyNumberFormat="1" borderId="3" applyBorder="1" fontId="1" applyFont="1" fillId="7" applyFill="1" applyAlignment="1">
      <alignment horizontal="right"/>
    </xf>
    <xf xfId="0" numFmtId="3" applyNumberFormat="1" borderId="3" applyBorder="1" fontId="1" applyFont="1" fillId="8" applyFill="1" applyAlignment="1">
      <alignment horizontal="right"/>
    </xf>
    <xf xfId="0" numFmtId="3" applyNumberFormat="1" borderId="3" applyBorder="1" fontId="1" applyFont="1" fillId="9" applyFill="1" applyAlignment="1">
      <alignment horizontal="right"/>
    </xf>
    <xf xfId="0" numFmtId="0" borderId="3" applyBorder="1" fontId="1" applyFont="1" fillId="10" applyFill="1" applyAlignment="1">
      <alignment horizontal="left"/>
    </xf>
    <xf xfId="0" numFmtId="164" applyNumberFormat="1" borderId="0" fontId="0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2" applyBorder="1" fontId="4" applyFont="1" fillId="11" applyFill="1" applyAlignment="1">
      <alignment horizontal="center" wrapText="1"/>
    </xf>
    <xf xfId="0" numFmtId="3" applyNumberFormat="1" borderId="2" applyBorder="1" fontId="4" applyFont="1" fillId="11" applyFill="1" applyAlignment="1">
      <alignment horizontal="center" wrapText="1"/>
    </xf>
    <xf xfId="0" numFmtId="4" applyNumberFormat="1" borderId="2" applyBorder="1" fontId="4" applyFont="1" fillId="11" applyFill="1" applyAlignment="1">
      <alignment horizontal="center" wrapText="1"/>
    </xf>
    <xf xfId="0" numFmtId="3" applyNumberFormat="1" borderId="4" applyBorder="1" fontId="4" applyFont="1" fillId="11" applyFill="1" applyAlignment="1">
      <alignment horizontal="center" wrapText="1"/>
    </xf>
    <xf xfId="0" numFmtId="164" applyNumberFormat="1" borderId="2" applyBorder="1" fontId="4" applyFont="1" fillId="11" applyFill="1" applyAlignment="1">
      <alignment horizontal="center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12" applyFill="1" applyAlignment="1">
      <alignment horizontal="center"/>
    </xf>
    <xf xfId="0" numFmtId="3" applyNumberFormat="1" borderId="2" applyBorder="1" fontId="1" applyFont="1" fillId="2" applyFill="1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0" borderId="2" applyBorder="1" fontId="2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4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165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general"/>
    </xf>
    <xf xfId="0" numFmtId="4" applyNumberFormat="1" borderId="2" applyBorder="1" fontId="1" applyFont="1" fillId="13" applyFill="1" applyAlignment="1">
      <alignment horizontal="center"/>
    </xf>
    <xf xfId="0" numFmtId="3" applyNumberFormat="1" borderId="2" applyBorder="1" fontId="1" applyFont="1" fillId="13" applyFill="1" applyAlignment="1">
      <alignment horizontal="center"/>
    </xf>
    <xf xfId="0" numFmtId="3" applyNumberFormat="1" borderId="2" applyBorder="1" fontId="1" applyFont="1" fillId="12" applyFill="1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3" applyBorder="1" fontId="1" applyFont="1" fillId="14" applyFill="1" applyAlignment="1">
      <alignment horizontal="left"/>
    </xf>
    <xf xfId="0" numFmtId="0" borderId="2" applyBorder="1" fontId="1" applyFont="1" fillId="15" applyFill="1" applyAlignment="1">
      <alignment horizontal="center"/>
    </xf>
    <xf xfId="0" numFmtId="166" applyNumberFormat="1" borderId="2" applyBorder="1" fontId="1" applyFont="1" fillId="0" applyAlignment="1">
      <alignment horizontal="center"/>
    </xf>
    <xf xfId="0" numFmtId="4" applyNumberFormat="1" borderId="2" applyBorder="1" fontId="1" applyFont="1" fillId="3" applyFill="1" applyAlignment="1">
      <alignment horizontal="center"/>
    </xf>
    <xf xfId="0" numFmtId="0" borderId="2" applyBorder="1" fontId="1" applyFont="1" fillId="14" applyFill="1" applyAlignment="1">
      <alignment horizontal="center"/>
    </xf>
    <xf xfId="0" numFmtId="4" applyNumberFormat="1" borderId="2" applyBorder="1" fontId="1" applyFont="1" fillId="14" applyFill="1" applyAlignment="1">
      <alignment horizontal="center"/>
    </xf>
    <xf xfId="0" numFmtId="3" applyNumberFormat="1" borderId="2" applyBorder="1" fontId="1" applyFont="1" fillId="14" applyFill="1" applyAlignment="1">
      <alignment horizontal="center"/>
    </xf>
    <xf xfId="0" numFmtId="0" borderId="2" applyBorder="1" fontId="1" applyFont="1" fillId="13" applyFill="1" applyAlignment="1">
      <alignment horizontal="center"/>
    </xf>
    <xf xfId="0" numFmtId="166" applyNumberFormat="1" borderId="2" applyBorder="1" fontId="1" applyFont="1" fillId="14" applyFill="1" applyAlignment="1">
      <alignment horizontal="center"/>
    </xf>
    <xf xfId="0" numFmtId="0" borderId="2" applyBorder="1" fontId="1" applyFont="1" fillId="16" applyFill="1" applyAlignment="1">
      <alignment horizontal="center"/>
    </xf>
    <xf xfId="0" numFmtId="4" applyNumberFormat="1" borderId="2" applyBorder="1" fontId="1" applyFont="1" fillId="16" applyFill="1" applyAlignment="1">
      <alignment horizontal="center"/>
    </xf>
    <xf xfId="0" numFmtId="3" applyNumberFormat="1" borderId="2" applyBorder="1" fontId="1" applyFont="1" fillId="16" applyFill="1" applyAlignment="1">
      <alignment horizontal="center"/>
    </xf>
    <xf xfId="0" numFmtId="164" applyNumberFormat="1" borderId="2" applyBorder="1" fontId="1" applyFont="1" fillId="16" applyFill="1" applyAlignment="1">
      <alignment horizontal="center"/>
    </xf>
    <xf xfId="0" numFmtId="0" borderId="2" applyBorder="1" fontId="1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sharedStrings.xml" Type="http://schemas.openxmlformats.org/officeDocument/2006/relationships/sharedStrings" Id="rId21"/><Relationship Target="styles.xml" Type="http://schemas.openxmlformats.org/officeDocument/2006/relationships/styles" Id="rId22"/><Relationship Target="theme/theme1.xml" Type="http://schemas.openxmlformats.org/officeDocument/2006/relationships/theme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1"/>
  <sheetViews>
    <sheetView workbookViewId="0" tabSelected="1"/>
  </sheetViews>
  <sheetFormatPr defaultRowHeight="15" x14ac:dyDescent="0.25"/>
  <cols>
    <col min="1" max="1" style="5" width="24.719285714285714" customWidth="1" bestFit="1"/>
    <col min="2" max="2" style="5" width="21.719285714285714" customWidth="1" bestFit="1"/>
    <col min="3" max="3" style="61" width="13.005" customWidth="1" bestFit="1"/>
    <col min="4" max="4" style="62" width="13.005" customWidth="1" bestFit="1"/>
    <col min="5" max="5" style="5" width="23.719285714285714" customWidth="1" bestFit="1"/>
    <col min="6" max="6" style="7" width="13.005" customWidth="1" bestFit="1"/>
  </cols>
  <sheetData>
    <row x14ac:dyDescent="0.25" r="1" customHeight="1" ht="43.20000000000001" customFormat="1" s="8">
      <c r="A1" s="98" t="s">
        <v>944</v>
      </c>
      <c r="B1" s="54" t="s">
        <v>959</v>
      </c>
      <c r="C1" s="55" t="s">
        <v>960</v>
      </c>
      <c r="D1" s="56" t="s">
        <v>961</v>
      </c>
      <c r="E1" s="9"/>
      <c r="F1" s="13"/>
    </row>
    <row x14ac:dyDescent="0.25" r="2" customHeight="1" ht="18">
      <c r="A2" s="1" t="s">
        <v>1002</v>
      </c>
      <c r="B2" s="1" t="s">
        <v>871</v>
      </c>
      <c r="C2" s="26">
        <v>82800</v>
      </c>
      <c r="D2" s="79">
        <v>0.77</v>
      </c>
      <c r="E2" s="1" t="s">
        <v>1144</v>
      </c>
      <c r="F2" s="3"/>
    </row>
    <row x14ac:dyDescent="0.25" r="3" customHeight="1" ht="18">
      <c r="A3" s="1" t="s">
        <v>1002</v>
      </c>
      <c r="B3" s="1" t="s">
        <v>875</v>
      </c>
      <c r="C3" s="26">
        <v>82800</v>
      </c>
      <c r="D3" s="79">
        <v>0.85</v>
      </c>
      <c r="E3" s="1" t="s">
        <v>1145</v>
      </c>
      <c r="F3" s="3"/>
    </row>
    <row x14ac:dyDescent="0.25" r="4" customHeight="1" ht="18">
      <c r="A4" s="1" t="s">
        <v>1002</v>
      </c>
      <c r="B4" s="1" t="s">
        <v>877</v>
      </c>
      <c r="C4" s="26">
        <v>82800</v>
      </c>
      <c r="D4" s="79">
        <v>0.85</v>
      </c>
      <c r="E4" s="1" t="s">
        <v>1146</v>
      </c>
      <c r="F4" s="3"/>
    </row>
    <row x14ac:dyDescent="0.25" r="5" customHeight="1" ht="18">
      <c r="A5" s="1" t="s">
        <v>1002</v>
      </c>
      <c r="B5" s="1" t="s">
        <v>879</v>
      </c>
      <c r="C5" s="26">
        <v>82800</v>
      </c>
      <c r="D5" s="79">
        <v>0.85</v>
      </c>
      <c r="E5" s="1" t="s">
        <v>1147</v>
      </c>
      <c r="F5" s="3"/>
    </row>
    <row x14ac:dyDescent="0.25" r="6" customHeight="1" ht="18">
      <c r="A6" s="1" t="s">
        <v>1002</v>
      </c>
      <c r="B6" s="1" t="s">
        <v>881</v>
      </c>
      <c r="C6" s="26">
        <v>82800</v>
      </c>
      <c r="D6" s="79">
        <v>0.85</v>
      </c>
      <c r="E6" s="1" t="s">
        <v>1147</v>
      </c>
      <c r="F6" s="3"/>
    </row>
    <row x14ac:dyDescent="0.25" r="7" customHeight="1" ht="18">
      <c r="A7" s="1" t="s">
        <v>1002</v>
      </c>
      <c r="B7" s="1" t="s">
        <v>882</v>
      </c>
      <c r="C7" s="26">
        <v>82800</v>
      </c>
      <c r="D7" s="79">
        <v>0.85</v>
      </c>
      <c r="E7" s="1" t="s">
        <v>1147</v>
      </c>
      <c r="F7" s="3"/>
    </row>
    <row x14ac:dyDescent="0.25" r="8" customHeight="1" ht="18">
      <c r="A8" s="1" t="s">
        <v>1002</v>
      </c>
      <c r="B8" s="1" t="s">
        <v>885</v>
      </c>
      <c r="C8" s="26">
        <v>82800</v>
      </c>
      <c r="D8" s="79">
        <v>0.85</v>
      </c>
      <c r="E8" s="1" t="s">
        <v>1148</v>
      </c>
      <c r="F8" s="3"/>
    </row>
    <row x14ac:dyDescent="0.25" r="9" customHeight="1" ht="18">
      <c r="A9" s="1" t="s">
        <v>1002</v>
      </c>
      <c r="B9" s="1" t="s">
        <v>888</v>
      </c>
      <c r="C9" s="26">
        <v>82800</v>
      </c>
      <c r="D9" s="79">
        <v>0.85</v>
      </c>
      <c r="E9" s="1" t="s">
        <v>1148</v>
      </c>
      <c r="F9" s="3"/>
    </row>
    <row x14ac:dyDescent="0.25" r="10" customHeight="1" ht="18">
      <c r="A10" s="1" t="s">
        <v>1002</v>
      </c>
      <c r="B10" s="1" t="s">
        <v>893</v>
      </c>
      <c r="C10" s="26">
        <v>82800</v>
      </c>
      <c r="D10" s="79">
        <v>0.85</v>
      </c>
      <c r="E10" s="1" t="s">
        <v>1149</v>
      </c>
      <c r="F10" s="3"/>
    </row>
    <row x14ac:dyDescent="0.25" r="11" customHeight="1" ht="18">
      <c r="A11" s="1" t="s">
        <v>1002</v>
      </c>
      <c r="B11" s="1" t="s">
        <v>895</v>
      </c>
      <c r="C11" s="26">
        <v>82800</v>
      </c>
      <c r="D11" s="79">
        <v>0.85</v>
      </c>
      <c r="E11" s="1" t="s">
        <v>1149</v>
      </c>
      <c r="F11" s="3"/>
    </row>
    <row x14ac:dyDescent="0.25" r="12" customHeight="1" ht="18">
      <c r="A12" s="1" t="s">
        <v>1002</v>
      </c>
      <c r="B12" s="1" t="s">
        <v>897</v>
      </c>
      <c r="C12" s="26">
        <v>82800</v>
      </c>
      <c r="D12" s="79">
        <v>0.85</v>
      </c>
      <c r="E12" s="1" t="s">
        <v>1149</v>
      </c>
      <c r="F12" s="4">
        <f>23*3600</f>
      </c>
    </row>
    <row x14ac:dyDescent="0.25" r="13" customHeight="1" ht="18">
      <c r="A13" s="1" t="s">
        <v>990</v>
      </c>
      <c r="B13" s="1" t="s">
        <v>769</v>
      </c>
      <c r="C13" s="26">
        <v>76212</v>
      </c>
      <c r="D13" s="79">
        <v>0.85</v>
      </c>
      <c r="E13" s="1"/>
      <c r="F13" s="4">
        <f>21.17*3600</f>
      </c>
    </row>
    <row x14ac:dyDescent="0.25" r="14" customHeight="1" ht="18">
      <c r="A14" s="1" t="s">
        <v>990</v>
      </c>
      <c r="B14" s="1" t="s">
        <v>781</v>
      </c>
      <c r="C14" s="26">
        <v>76212</v>
      </c>
      <c r="D14" s="79">
        <v>0.85</v>
      </c>
      <c r="E14" s="1"/>
      <c r="F14" s="3"/>
    </row>
    <row x14ac:dyDescent="0.25" r="15" customHeight="1" ht="18">
      <c r="A15" s="1" t="s">
        <v>990</v>
      </c>
      <c r="B15" s="1" t="s">
        <v>784</v>
      </c>
      <c r="C15" s="26">
        <v>76212</v>
      </c>
      <c r="D15" s="79">
        <v>0.85</v>
      </c>
      <c r="E15" s="1"/>
      <c r="F15" s="3"/>
    </row>
    <row x14ac:dyDescent="0.25" r="16" customHeight="1" ht="18">
      <c r="A16" s="1" t="s">
        <v>990</v>
      </c>
      <c r="B16" s="1" t="s">
        <v>792</v>
      </c>
      <c r="C16" s="26">
        <v>76212</v>
      </c>
      <c r="D16" s="79">
        <v>0.85</v>
      </c>
      <c r="E16" s="1"/>
      <c r="F16" s="3"/>
    </row>
    <row x14ac:dyDescent="0.25" r="17" customHeight="1" ht="18">
      <c r="A17" s="1" t="s">
        <v>990</v>
      </c>
      <c r="B17" s="1" t="s">
        <v>802</v>
      </c>
      <c r="C17" s="26">
        <v>76212</v>
      </c>
      <c r="D17" s="79">
        <v>0.85</v>
      </c>
      <c r="E17" s="1"/>
      <c r="F17" s="3"/>
    </row>
    <row x14ac:dyDescent="0.25" r="18" customHeight="1" ht="18">
      <c r="A18" s="1" t="s">
        <v>990</v>
      </c>
      <c r="B18" s="1" t="s">
        <v>809</v>
      </c>
      <c r="C18" s="26">
        <v>76212</v>
      </c>
      <c r="D18" s="79">
        <v>0.85</v>
      </c>
      <c r="E18" s="1"/>
      <c r="F18" s="3"/>
    </row>
    <row x14ac:dyDescent="0.25" r="19" customHeight="1" ht="18">
      <c r="A19" s="1" t="s">
        <v>990</v>
      </c>
      <c r="B19" s="1" t="s">
        <v>812</v>
      </c>
      <c r="C19" s="26">
        <v>76212</v>
      </c>
      <c r="D19" s="79">
        <v>0.85</v>
      </c>
      <c r="E19" s="1"/>
      <c r="F19" s="3"/>
    </row>
    <row x14ac:dyDescent="0.25" r="20" customHeight="1" ht="18">
      <c r="A20" s="1" t="s">
        <v>990</v>
      </c>
      <c r="B20" s="1" t="s">
        <v>815</v>
      </c>
      <c r="C20" s="26">
        <v>76212</v>
      </c>
      <c r="D20" s="79">
        <v>0.85</v>
      </c>
      <c r="E20" s="1"/>
      <c r="F20" s="3"/>
    </row>
    <row x14ac:dyDescent="0.25" r="21" customHeight="1" ht="18">
      <c r="A21" s="1" t="s">
        <v>990</v>
      </c>
      <c r="B21" s="1" t="s">
        <v>825</v>
      </c>
      <c r="C21" s="26">
        <v>76212</v>
      </c>
      <c r="D21" s="79">
        <v>0.85</v>
      </c>
      <c r="E21" s="1"/>
      <c r="F21" s="3"/>
    </row>
    <row x14ac:dyDescent="0.25" r="22" customHeight="1" ht="18">
      <c r="A22" s="1" t="s">
        <v>990</v>
      </c>
      <c r="B22" s="1" t="s">
        <v>829</v>
      </c>
      <c r="C22" s="26">
        <v>76212</v>
      </c>
      <c r="D22" s="79">
        <v>0.85</v>
      </c>
      <c r="E22" s="1"/>
      <c r="F22" s="3"/>
    </row>
    <row x14ac:dyDescent="0.25" r="23" customHeight="1" ht="18">
      <c r="A23" s="1" t="s">
        <v>990</v>
      </c>
      <c r="B23" s="1" t="s">
        <v>835</v>
      </c>
      <c r="C23" s="26">
        <v>76212</v>
      </c>
      <c r="D23" s="79">
        <v>0.85</v>
      </c>
      <c r="E23" s="1"/>
      <c r="F23" s="3"/>
    </row>
    <row x14ac:dyDescent="0.25" r="24" customHeight="1" ht="18">
      <c r="A24" s="1" t="s">
        <v>990</v>
      </c>
      <c r="B24" s="1" t="s">
        <v>838</v>
      </c>
      <c r="C24" s="26">
        <v>76212</v>
      </c>
      <c r="D24" s="79">
        <v>0.85</v>
      </c>
      <c r="E24" s="1"/>
      <c r="F24" s="3"/>
    </row>
    <row x14ac:dyDescent="0.25" r="25" customHeight="1" ht="18">
      <c r="A25" s="1" t="s">
        <v>990</v>
      </c>
      <c r="B25" s="1" t="s">
        <v>841</v>
      </c>
      <c r="C25" s="26">
        <v>76212</v>
      </c>
      <c r="D25" s="79">
        <v>0.85</v>
      </c>
      <c r="E25" s="1"/>
      <c r="F25" s="3"/>
    </row>
    <row x14ac:dyDescent="0.25" r="26" customHeight="1" ht="18">
      <c r="A26" s="1" t="s">
        <v>990</v>
      </c>
      <c r="B26" s="1" t="s">
        <v>845</v>
      </c>
      <c r="C26" s="26">
        <v>76212</v>
      </c>
      <c r="D26" s="79">
        <v>0.85</v>
      </c>
      <c r="E26" s="1"/>
      <c r="F26" s="3"/>
    </row>
    <row x14ac:dyDescent="0.25" r="27" customHeight="1" ht="18">
      <c r="A27" s="1" t="s">
        <v>990</v>
      </c>
      <c r="B27" s="1" t="s">
        <v>849</v>
      </c>
      <c r="C27" s="26">
        <v>76212</v>
      </c>
      <c r="D27" s="79">
        <v>0.85</v>
      </c>
      <c r="E27" s="1"/>
      <c r="F27" s="3"/>
    </row>
    <row x14ac:dyDescent="0.25" r="28" customHeight="1" ht="18">
      <c r="A28" s="1" t="s">
        <v>990</v>
      </c>
      <c r="B28" s="1" t="s">
        <v>850</v>
      </c>
      <c r="C28" s="26">
        <v>76212</v>
      </c>
      <c r="D28" s="79">
        <v>0.85</v>
      </c>
      <c r="E28" s="1"/>
      <c r="F28" s="3"/>
    </row>
    <row x14ac:dyDescent="0.25" r="29" customHeight="1" ht="18">
      <c r="A29" s="1" t="s">
        <v>967</v>
      </c>
      <c r="B29" s="1" t="s">
        <v>707</v>
      </c>
      <c r="C29" s="26">
        <v>76212</v>
      </c>
      <c r="D29" s="79">
        <v>0.85</v>
      </c>
      <c r="E29" s="1"/>
      <c r="F29" s="3"/>
    </row>
    <row x14ac:dyDescent="0.25" r="30" customHeight="1" ht="18">
      <c r="A30" s="1" t="s">
        <v>967</v>
      </c>
      <c r="B30" s="1" t="s">
        <v>710</v>
      </c>
      <c r="C30" s="26">
        <v>76212</v>
      </c>
      <c r="D30" s="79">
        <v>0.85</v>
      </c>
      <c r="E30" s="1"/>
      <c r="F30" s="3"/>
    </row>
    <row x14ac:dyDescent="0.25" r="31" customHeight="1" ht="18">
      <c r="A31" s="1" t="s">
        <v>967</v>
      </c>
      <c r="B31" s="1" t="s">
        <v>715</v>
      </c>
      <c r="C31" s="26">
        <v>76212</v>
      </c>
      <c r="D31" s="79">
        <v>0.85</v>
      </c>
      <c r="E31" s="1"/>
      <c r="F31" s="3"/>
    </row>
    <row x14ac:dyDescent="0.25" r="32" customHeight="1" ht="18">
      <c r="A32" s="1" t="s">
        <v>967</v>
      </c>
      <c r="B32" s="1" t="s">
        <v>723</v>
      </c>
      <c r="C32" s="26">
        <v>76212</v>
      </c>
      <c r="D32" s="79">
        <v>0.85</v>
      </c>
      <c r="E32" s="1"/>
      <c r="F32" s="3"/>
    </row>
    <row x14ac:dyDescent="0.25" r="33" customHeight="1" ht="18">
      <c r="A33" s="1" t="s">
        <v>967</v>
      </c>
      <c r="B33" s="1" t="s">
        <v>727</v>
      </c>
      <c r="C33" s="26">
        <v>76212</v>
      </c>
      <c r="D33" s="79">
        <v>0.85</v>
      </c>
      <c r="E33" s="1"/>
      <c r="F33" s="3"/>
    </row>
    <row x14ac:dyDescent="0.25" r="34" customHeight="1" ht="18">
      <c r="A34" s="1" t="s">
        <v>967</v>
      </c>
      <c r="B34" s="1" t="s">
        <v>732</v>
      </c>
      <c r="C34" s="26">
        <v>76212</v>
      </c>
      <c r="D34" s="79">
        <v>0.85</v>
      </c>
      <c r="E34" s="1"/>
      <c r="F34" s="3"/>
    </row>
    <row x14ac:dyDescent="0.25" r="35" customHeight="1" ht="18">
      <c r="A35" s="1" t="s">
        <v>967</v>
      </c>
      <c r="B35" s="1" t="s">
        <v>735</v>
      </c>
      <c r="C35" s="26">
        <v>76212</v>
      </c>
      <c r="D35" s="79">
        <v>0.85</v>
      </c>
      <c r="E35" s="1"/>
      <c r="F35" s="3"/>
    </row>
    <row x14ac:dyDescent="0.25" r="36" customHeight="1" ht="18">
      <c r="A36" s="1" t="s">
        <v>967</v>
      </c>
      <c r="B36" s="1" t="s">
        <v>736</v>
      </c>
      <c r="C36" s="26">
        <v>76212</v>
      </c>
      <c r="D36" s="79">
        <v>0.85</v>
      </c>
      <c r="E36" s="1"/>
      <c r="F36" s="3"/>
    </row>
    <row x14ac:dyDescent="0.25" r="37" customHeight="1" ht="18">
      <c r="A37" s="1" t="s">
        <v>963</v>
      </c>
      <c r="B37" s="1" t="s">
        <v>284</v>
      </c>
      <c r="C37" s="26">
        <v>76212</v>
      </c>
      <c r="D37" s="79">
        <v>0.85</v>
      </c>
      <c r="E37" s="1"/>
      <c r="F37" s="3"/>
    </row>
    <row x14ac:dyDescent="0.25" r="38" customHeight="1" ht="18">
      <c r="A38" s="1" t="s">
        <v>963</v>
      </c>
      <c r="B38" s="1" t="s">
        <v>291</v>
      </c>
      <c r="C38" s="26">
        <v>76212</v>
      </c>
      <c r="D38" s="79">
        <v>0.85</v>
      </c>
      <c r="E38" s="1"/>
      <c r="F38" s="3"/>
    </row>
    <row x14ac:dyDescent="0.25" r="39" customHeight="1" ht="18">
      <c r="A39" s="1" t="s">
        <v>963</v>
      </c>
      <c r="B39" s="1" t="s">
        <v>300</v>
      </c>
      <c r="C39" s="26">
        <v>76212</v>
      </c>
      <c r="D39" s="79">
        <v>0.85</v>
      </c>
      <c r="E39" s="1"/>
      <c r="F39" s="3"/>
    </row>
    <row x14ac:dyDescent="0.25" r="40" customHeight="1" ht="18">
      <c r="A40" s="1" t="s">
        <v>963</v>
      </c>
      <c r="B40" s="1" t="s">
        <v>304</v>
      </c>
      <c r="C40" s="26">
        <v>76212</v>
      </c>
      <c r="D40" s="79">
        <v>0.85</v>
      </c>
      <c r="E40" s="1"/>
      <c r="F40" s="3"/>
    </row>
    <row x14ac:dyDescent="0.25" r="41" customHeight="1" ht="18">
      <c r="A41" s="1" t="s">
        <v>963</v>
      </c>
      <c r="B41" s="1" t="s">
        <v>306</v>
      </c>
      <c r="C41" s="26">
        <v>76212</v>
      </c>
      <c r="D41" s="79">
        <v>0.85</v>
      </c>
      <c r="E41" s="1"/>
      <c r="F41" s="3"/>
    </row>
    <row x14ac:dyDescent="0.25" r="42" customHeight="1" ht="18">
      <c r="A42" s="1" t="s">
        <v>963</v>
      </c>
      <c r="B42" s="1" t="s">
        <v>307</v>
      </c>
      <c r="C42" s="26">
        <v>76212</v>
      </c>
      <c r="D42" s="79">
        <v>0.85</v>
      </c>
      <c r="E42" s="1"/>
      <c r="F42" s="3"/>
    </row>
    <row x14ac:dyDescent="0.25" r="43" customHeight="1" ht="18">
      <c r="A43" s="1" t="s">
        <v>963</v>
      </c>
      <c r="B43" s="1" t="s">
        <v>318</v>
      </c>
      <c r="C43" s="26">
        <v>76212</v>
      </c>
      <c r="D43" s="79">
        <v>0.85</v>
      </c>
      <c r="E43" s="1"/>
      <c r="F43" s="3"/>
    </row>
    <row x14ac:dyDescent="0.25" r="44" customHeight="1" ht="18">
      <c r="A44" s="1" t="s">
        <v>963</v>
      </c>
      <c r="B44" s="1" t="s">
        <v>328</v>
      </c>
      <c r="C44" s="26">
        <v>76212</v>
      </c>
      <c r="D44" s="79">
        <v>0.85</v>
      </c>
      <c r="E44" s="1"/>
      <c r="F44" s="3"/>
    </row>
    <row x14ac:dyDescent="0.25" r="45" customHeight="1" ht="18">
      <c r="A45" s="1" t="s">
        <v>963</v>
      </c>
      <c r="B45" s="1" t="s">
        <v>335</v>
      </c>
      <c r="C45" s="26">
        <v>76212</v>
      </c>
      <c r="D45" s="79">
        <v>0.85</v>
      </c>
      <c r="E45" s="1"/>
      <c r="F45" s="3"/>
    </row>
    <row x14ac:dyDescent="0.25" r="46" customHeight="1" ht="18">
      <c r="A46" s="1" t="s">
        <v>963</v>
      </c>
      <c r="B46" s="1" t="s">
        <v>343</v>
      </c>
      <c r="C46" s="26">
        <v>76212</v>
      </c>
      <c r="D46" s="79">
        <v>0.85</v>
      </c>
      <c r="E46" s="1"/>
      <c r="F46" s="3"/>
    </row>
    <row x14ac:dyDescent="0.25" r="47" customHeight="1" ht="18">
      <c r="A47" s="1" t="s">
        <v>953</v>
      </c>
      <c r="B47" s="1" t="s">
        <v>99</v>
      </c>
      <c r="C47" s="26">
        <v>76212</v>
      </c>
      <c r="D47" s="79">
        <v>0.85</v>
      </c>
      <c r="E47" s="1"/>
      <c r="F47" s="3"/>
    </row>
    <row x14ac:dyDescent="0.25" r="48" customHeight="1" ht="18">
      <c r="A48" s="1" t="s">
        <v>953</v>
      </c>
      <c r="B48" s="1" t="s">
        <v>111</v>
      </c>
      <c r="C48" s="26">
        <v>76212</v>
      </c>
      <c r="D48" s="79">
        <v>0.85</v>
      </c>
      <c r="E48" s="1"/>
      <c r="F48" s="3"/>
    </row>
    <row x14ac:dyDescent="0.25" r="49" customHeight="1" ht="18">
      <c r="A49" s="1" t="s">
        <v>953</v>
      </c>
      <c r="B49" s="1" t="s">
        <v>114</v>
      </c>
      <c r="C49" s="26">
        <v>76212</v>
      </c>
      <c r="D49" s="79">
        <v>0.85</v>
      </c>
      <c r="E49" s="1"/>
      <c r="F49" s="3"/>
    </row>
    <row x14ac:dyDescent="0.25" r="50" customHeight="1" ht="18">
      <c r="A50" s="1" t="s">
        <v>953</v>
      </c>
      <c r="B50" s="1" t="s">
        <v>121</v>
      </c>
      <c r="C50" s="26">
        <v>76212</v>
      </c>
      <c r="D50" s="79">
        <v>0.85</v>
      </c>
      <c r="E50" s="1"/>
      <c r="F50" s="3"/>
    </row>
    <row x14ac:dyDescent="0.25" r="51" customHeight="1" ht="18">
      <c r="A51" s="1" t="s">
        <v>1106</v>
      </c>
      <c r="B51" s="1" t="s">
        <v>507</v>
      </c>
      <c r="C51" s="26">
        <v>76212</v>
      </c>
      <c r="D51" s="79">
        <v>0.85</v>
      </c>
      <c r="E51" s="1" t="s">
        <v>1150</v>
      </c>
      <c r="F51" s="3"/>
    </row>
    <row x14ac:dyDescent="0.25" r="52" customHeight="1" ht="18">
      <c r="A52" s="1" t="s">
        <v>1107</v>
      </c>
      <c r="B52" s="1" t="s">
        <v>493</v>
      </c>
      <c r="C52" s="26">
        <v>76212</v>
      </c>
      <c r="D52" s="79">
        <v>0.85</v>
      </c>
      <c r="E52" s="1" t="s">
        <v>1151</v>
      </c>
      <c r="F52" s="58"/>
    </row>
    <row x14ac:dyDescent="0.25" r="53" customHeight="1" ht="18">
      <c r="A53" s="1" t="s">
        <v>1107</v>
      </c>
      <c r="B53" s="1" t="s">
        <v>497</v>
      </c>
      <c r="C53" s="26">
        <v>76212</v>
      </c>
      <c r="D53" s="79">
        <v>0.85</v>
      </c>
      <c r="E53" s="1" t="s">
        <v>1151</v>
      </c>
      <c r="F53" s="3"/>
    </row>
    <row x14ac:dyDescent="0.25" r="54" customHeight="1" ht="18">
      <c r="A54" s="1" t="s">
        <v>1107</v>
      </c>
      <c r="B54" s="1" t="s">
        <v>500</v>
      </c>
      <c r="C54" s="26">
        <v>76212</v>
      </c>
      <c r="D54" s="79">
        <v>0.85</v>
      </c>
      <c r="E54" s="1" t="s">
        <v>1151</v>
      </c>
      <c r="F54" s="3"/>
    </row>
    <row x14ac:dyDescent="0.25" r="55" customHeight="1" ht="18">
      <c r="A55" s="1" t="s">
        <v>1107</v>
      </c>
      <c r="B55" s="1" t="s">
        <v>503</v>
      </c>
      <c r="C55" s="26">
        <v>76212</v>
      </c>
      <c r="D55" s="79">
        <v>0.85</v>
      </c>
      <c r="E55" s="1" t="s">
        <v>1152</v>
      </c>
      <c r="F55" s="3"/>
    </row>
    <row x14ac:dyDescent="0.25" r="56" customHeight="1" ht="18">
      <c r="A56" s="1" t="s">
        <v>1107</v>
      </c>
      <c r="B56" s="1" t="s">
        <v>505</v>
      </c>
      <c r="C56" s="26">
        <v>76212</v>
      </c>
      <c r="D56" s="79">
        <v>0.85</v>
      </c>
      <c r="E56" s="1" t="s">
        <v>1153</v>
      </c>
      <c r="F56" s="3"/>
    </row>
    <row x14ac:dyDescent="0.25" r="57" customHeight="1" ht="18">
      <c r="A57" s="1" t="s">
        <v>1109</v>
      </c>
      <c r="B57" s="1" t="s">
        <v>477</v>
      </c>
      <c r="C57" s="26">
        <v>76212</v>
      </c>
      <c r="D57" s="79">
        <v>0.85</v>
      </c>
      <c r="E57" s="1" t="s">
        <v>1151</v>
      </c>
      <c r="F57" s="3"/>
    </row>
    <row x14ac:dyDescent="0.25" r="58" customHeight="1" ht="18">
      <c r="A58" s="1" t="s">
        <v>1109</v>
      </c>
      <c r="B58" s="1" t="s">
        <v>482</v>
      </c>
      <c r="C58" s="26">
        <v>76212</v>
      </c>
      <c r="D58" s="79">
        <v>0.85</v>
      </c>
      <c r="E58" s="1" t="s">
        <v>1151</v>
      </c>
      <c r="F58" s="3"/>
    </row>
    <row x14ac:dyDescent="0.25" r="59" customHeight="1" ht="18">
      <c r="A59" s="1" t="s">
        <v>1109</v>
      </c>
      <c r="B59" s="1" t="s">
        <v>486</v>
      </c>
      <c r="C59" s="26">
        <v>76212</v>
      </c>
      <c r="D59" s="79">
        <v>0.85</v>
      </c>
      <c r="E59" s="1" t="s">
        <v>1151</v>
      </c>
      <c r="F59" s="3"/>
    </row>
    <row x14ac:dyDescent="0.25" r="60" customHeight="1" ht="18">
      <c r="A60" s="1" t="s">
        <v>1109</v>
      </c>
      <c r="B60" s="1" t="s">
        <v>488</v>
      </c>
      <c r="C60" s="26">
        <v>76212</v>
      </c>
      <c r="D60" s="79">
        <v>0.85</v>
      </c>
      <c r="E60" s="1" t="s">
        <v>1154</v>
      </c>
      <c r="F60" s="3"/>
    </row>
    <row x14ac:dyDescent="0.25" r="61" customHeight="1" ht="18">
      <c r="A61" s="1" t="s">
        <v>1109</v>
      </c>
      <c r="B61" s="1" t="s">
        <v>490</v>
      </c>
      <c r="C61" s="26">
        <v>76212</v>
      </c>
      <c r="D61" s="79">
        <v>0.85</v>
      </c>
      <c r="E61" s="1" t="s">
        <v>1155</v>
      </c>
      <c r="F61" s="3"/>
    </row>
    <row x14ac:dyDescent="0.25" r="62" customHeight="1" ht="18">
      <c r="A62" s="1" t="s">
        <v>1111</v>
      </c>
      <c r="B62" s="1" t="s">
        <v>461</v>
      </c>
      <c r="C62" s="26">
        <v>76212</v>
      </c>
      <c r="D62" s="79">
        <v>0.85</v>
      </c>
      <c r="E62" s="1" t="s">
        <v>923</v>
      </c>
      <c r="F62" s="3"/>
    </row>
    <row x14ac:dyDescent="0.25" r="63" customHeight="1" ht="18">
      <c r="A63" s="1" t="s">
        <v>1111</v>
      </c>
      <c r="B63" s="1" t="s">
        <v>468</v>
      </c>
      <c r="C63" s="26">
        <v>76212</v>
      </c>
      <c r="D63" s="79">
        <v>0.85</v>
      </c>
      <c r="E63" s="1" t="s">
        <v>923</v>
      </c>
      <c r="F63" s="3"/>
    </row>
    <row x14ac:dyDescent="0.25" r="64" customHeight="1" ht="18">
      <c r="A64" s="1" t="s">
        <v>1111</v>
      </c>
      <c r="B64" s="1" t="s">
        <v>471</v>
      </c>
      <c r="C64" s="26">
        <v>76212</v>
      </c>
      <c r="D64" s="79">
        <v>0.85</v>
      </c>
      <c r="E64" s="1" t="s">
        <v>1156</v>
      </c>
      <c r="F64" s="3"/>
    </row>
    <row x14ac:dyDescent="0.25" r="65" customHeight="1" ht="18">
      <c r="A65" s="1" t="s">
        <v>1111</v>
      </c>
      <c r="B65" s="1" t="s">
        <v>475</v>
      </c>
      <c r="C65" s="26">
        <v>76212</v>
      </c>
      <c r="D65" s="79">
        <v>0.85</v>
      </c>
      <c r="E65" s="1" t="s">
        <v>1157</v>
      </c>
      <c r="F65" s="3"/>
    </row>
    <row x14ac:dyDescent="0.25" r="66" customHeight="1" ht="18">
      <c r="A66" s="1" t="s">
        <v>1111</v>
      </c>
      <c r="B66" s="1" t="s">
        <v>476</v>
      </c>
      <c r="C66" s="26">
        <v>76212</v>
      </c>
      <c r="D66" s="79">
        <v>0.85</v>
      </c>
      <c r="E66" s="1" t="s">
        <v>927</v>
      </c>
      <c r="F66" s="3"/>
    </row>
    <row x14ac:dyDescent="0.25" r="67" customHeight="1" ht="18">
      <c r="A67" s="1" t="s">
        <v>1122</v>
      </c>
      <c r="B67" s="1" t="s">
        <v>131</v>
      </c>
      <c r="C67" s="26">
        <v>76212</v>
      </c>
      <c r="D67" s="79">
        <v>0.85</v>
      </c>
      <c r="E67" s="1"/>
      <c r="F67" s="3"/>
    </row>
    <row x14ac:dyDescent="0.25" r="68" customHeight="1" ht="18">
      <c r="A68" s="1" t="s">
        <v>1122</v>
      </c>
      <c r="B68" s="1" t="s">
        <v>134</v>
      </c>
      <c r="C68" s="26">
        <v>76212</v>
      </c>
      <c r="D68" s="79">
        <v>0.85</v>
      </c>
      <c r="E68" s="1"/>
      <c r="F68" s="3"/>
    </row>
    <row x14ac:dyDescent="0.25" r="69" customHeight="1" ht="18">
      <c r="A69" s="1" t="s">
        <v>1122</v>
      </c>
      <c r="B69" s="1" t="s">
        <v>136</v>
      </c>
      <c r="C69" s="26">
        <v>76212</v>
      </c>
      <c r="D69" s="79">
        <v>0.85</v>
      </c>
      <c r="E69" s="1"/>
      <c r="F69" s="3"/>
    </row>
    <row x14ac:dyDescent="0.25" r="70" customHeight="1" ht="18">
      <c r="A70" s="1" t="s">
        <v>1122</v>
      </c>
      <c r="B70" s="1" t="s">
        <v>138</v>
      </c>
      <c r="C70" s="26">
        <v>76212</v>
      </c>
      <c r="D70" s="79">
        <v>0.85</v>
      </c>
      <c r="E70" s="1"/>
      <c r="F70" s="3"/>
    </row>
    <row x14ac:dyDescent="0.25" r="71" customHeight="1" ht="18">
      <c r="A71" s="1" t="s">
        <v>1122</v>
      </c>
      <c r="B71" s="1" t="s">
        <v>139</v>
      </c>
      <c r="C71" s="26">
        <v>76212</v>
      </c>
      <c r="D71" s="79">
        <v>0.85</v>
      </c>
      <c r="E71" s="1"/>
      <c r="F71" s="3"/>
    </row>
    <row x14ac:dyDescent="0.25" r="72" customHeight="1" ht="18">
      <c r="A72" s="1" t="s">
        <v>1122</v>
      </c>
      <c r="B72" s="1" t="s">
        <v>140</v>
      </c>
      <c r="C72" s="26">
        <v>76212</v>
      </c>
      <c r="D72" s="79">
        <v>0.85</v>
      </c>
      <c r="E72" s="1"/>
      <c r="F72" s="3"/>
    </row>
    <row x14ac:dyDescent="0.25" r="73" customHeight="1" ht="18">
      <c r="A73" s="1" t="s">
        <v>1122</v>
      </c>
      <c r="B73" s="1" t="s">
        <v>141</v>
      </c>
      <c r="C73" s="26">
        <v>76212</v>
      </c>
      <c r="D73" s="79">
        <v>0.85</v>
      </c>
      <c r="E73" s="1"/>
      <c r="F73" s="3"/>
    </row>
    <row x14ac:dyDescent="0.25" r="74" customHeight="1" ht="18">
      <c r="A74" s="1" t="s">
        <v>1122</v>
      </c>
      <c r="B74" s="1" t="s">
        <v>142</v>
      </c>
      <c r="C74" s="26">
        <v>76212</v>
      </c>
      <c r="D74" s="79">
        <v>0.85</v>
      </c>
      <c r="E74" s="1"/>
      <c r="F74" s="3"/>
    </row>
    <row x14ac:dyDescent="0.25" r="75" customHeight="1" ht="18">
      <c r="A75" s="1" t="s">
        <v>1122</v>
      </c>
      <c r="B75" s="1" t="s">
        <v>143</v>
      </c>
      <c r="C75" s="26">
        <v>76212</v>
      </c>
      <c r="D75" s="79">
        <v>0.85</v>
      </c>
      <c r="E75" s="1"/>
      <c r="F75" s="3"/>
    </row>
    <row x14ac:dyDescent="0.25" r="76" customHeight="1" ht="18">
      <c r="A76" s="1" t="s">
        <v>1122</v>
      </c>
      <c r="B76" s="1" t="s">
        <v>144</v>
      </c>
      <c r="C76" s="26">
        <v>76212</v>
      </c>
      <c r="D76" s="79">
        <v>0.85</v>
      </c>
      <c r="E76" s="1"/>
      <c r="F76" s="3"/>
    </row>
    <row x14ac:dyDescent="0.25" r="77" customHeight="1" ht="18">
      <c r="A77" s="1" t="s">
        <v>1122</v>
      </c>
      <c r="B77" s="1" t="s">
        <v>145</v>
      </c>
      <c r="C77" s="26">
        <v>76212</v>
      </c>
      <c r="D77" s="79">
        <v>0.85</v>
      </c>
      <c r="E77" s="1"/>
      <c r="F77" s="3"/>
    </row>
    <row x14ac:dyDescent="0.25" r="78" customHeight="1" ht="18">
      <c r="A78" s="1" t="s">
        <v>1122</v>
      </c>
      <c r="B78" s="1" t="s">
        <v>146</v>
      </c>
      <c r="C78" s="26">
        <v>76212</v>
      </c>
      <c r="D78" s="79">
        <v>0.85</v>
      </c>
      <c r="E78" s="1"/>
      <c r="F78" s="3"/>
    </row>
    <row x14ac:dyDescent="0.25" r="79" customHeight="1" ht="18">
      <c r="A79" s="1" t="s">
        <v>1122</v>
      </c>
      <c r="B79" s="1" t="s">
        <v>147</v>
      </c>
      <c r="C79" s="26">
        <v>76212</v>
      </c>
      <c r="D79" s="79">
        <v>0.85</v>
      </c>
      <c r="E79" s="1"/>
      <c r="F79" s="3"/>
    </row>
    <row x14ac:dyDescent="0.25" r="80" customHeight="1" ht="18">
      <c r="A80" s="1" t="s">
        <v>1122</v>
      </c>
      <c r="B80" s="1" t="s">
        <v>148</v>
      </c>
      <c r="C80" s="26">
        <v>76212</v>
      </c>
      <c r="D80" s="79">
        <v>0.85</v>
      </c>
      <c r="E80" s="1"/>
      <c r="F80" s="3"/>
    </row>
    <row x14ac:dyDescent="0.25" r="81" customHeight="1" ht="18">
      <c r="A81" s="1" t="s">
        <v>1122</v>
      </c>
      <c r="B81" s="1" t="s">
        <v>149</v>
      </c>
      <c r="C81" s="26">
        <v>76212</v>
      </c>
      <c r="D81" s="79">
        <v>0.85</v>
      </c>
      <c r="E81" s="1"/>
      <c r="F81" s="3"/>
    </row>
    <row x14ac:dyDescent="0.25" r="82" customHeight="1" ht="18">
      <c r="A82" s="1" t="s">
        <v>1122</v>
      </c>
      <c r="B82" s="1" t="s">
        <v>150</v>
      </c>
      <c r="C82" s="26">
        <v>76212</v>
      </c>
      <c r="D82" s="79">
        <v>0.85</v>
      </c>
      <c r="E82" s="1"/>
      <c r="F82" s="3"/>
    </row>
    <row x14ac:dyDescent="0.25" r="83" customHeight="1" ht="18">
      <c r="A83" s="1" t="s">
        <v>1122</v>
      </c>
      <c r="B83" s="1" t="s">
        <v>151</v>
      </c>
      <c r="C83" s="26">
        <v>76212</v>
      </c>
      <c r="D83" s="79">
        <v>0.85</v>
      </c>
      <c r="E83" s="1"/>
      <c r="F83" s="3"/>
    </row>
    <row x14ac:dyDescent="0.25" r="84" customHeight="1" ht="18">
      <c r="A84" s="1" t="s">
        <v>1122</v>
      </c>
      <c r="B84" s="1" t="s">
        <v>152</v>
      </c>
      <c r="C84" s="26">
        <v>76212</v>
      </c>
      <c r="D84" s="79">
        <v>0.85</v>
      </c>
      <c r="E84" s="1"/>
      <c r="F84" s="3"/>
    </row>
    <row x14ac:dyDescent="0.25" r="85" customHeight="1" ht="18">
      <c r="A85" s="1" t="s">
        <v>1122</v>
      </c>
      <c r="B85" s="1" t="s">
        <v>153</v>
      </c>
      <c r="C85" s="26">
        <v>76212</v>
      </c>
      <c r="D85" s="79">
        <v>0.85</v>
      </c>
      <c r="E85" s="1"/>
      <c r="F85" s="3"/>
    </row>
    <row x14ac:dyDescent="0.25" r="86" customHeight="1" ht="18">
      <c r="A86" s="1" t="s">
        <v>1122</v>
      </c>
      <c r="B86" s="1" t="s">
        <v>154</v>
      </c>
      <c r="C86" s="26">
        <v>76212</v>
      </c>
      <c r="D86" s="79">
        <v>0.85</v>
      </c>
      <c r="E86" s="1"/>
      <c r="F86" s="3"/>
    </row>
    <row x14ac:dyDescent="0.25" r="87" customHeight="1" ht="18">
      <c r="A87" s="1" t="s">
        <v>1122</v>
      </c>
      <c r="B87" s="1" t="s">
        <v>155</v>
      </c>
      <c r="C87" s="26">
        <v>76212</v>
      </c>
      <c r="D87" s="79">
        <v>0.85</v>
      </c>
      <c r="E87" s="1"/>
      <c r="F87" s="58"/>
    </row>
    <row x14ac:dyDescent="0.25" r="88" customHeight="1" ht="18">
      <c r="A88" s="1" t="s">
        <v>1122</v>
      </c>
      <c r="B88" s="1" t="s">
        <v>156</v>
      </c>
      <c r="C88" s="26">
        <v>76212</v>
      </c>
      <c r="D88" s="79">
        <v>0.85</v>
      </c>
      <c r="E88" s="1"/>
      <c r="F88" s="3"/>
    </row>
    <row x14ac:dyDescent="0.25" r="89" customHeight="1" ht="18">
      <c r="A89" s="1" t="s">
        <v>1122</v>
      </c>
      <c r="B89" s="1" t="s">
        <v>157</v>
      </c>
      <c r="C89" s="26">
        <v>76212</v>
      </c>
      <c r="D89" s="79">
        <v>0.85</v>
      </c>
      <c r="E89" s="1"/>
      <c r="F89" s="3"/>
    </row>
    <row x14ac:dyDescent="0.25" r="90" customHeight="1" ht="18">
      <c r="A90" s="1" t="s">
        <v>1122</v>
      </c>
      <c r="B90" s="1" t="s">
        <v>158</v>
      </c>
      <c r="C90" s="26">
        <v>76212</v>
      </c>
      <c r="D90" s="79">
        <v>0.85</v>
      </c>
      <c r="E90" s="1"/>
      <c r="F90" s="3"/>
    </row>
    <row x14ac:dyDescent="0.25" r="91" customHeight="1" ht="18">
      <c r="A91" s="1" t="s">
        <v>1122</v>
      </c>
      <c r="B91" s="1" t="s">
        <v>159</v>
      </c>
      <c r="C91" s="26">
        <v>76212</v>
      </c>
      <c r="D91" s="79">
        <v>0.85</v>
      </c>
      <c r="E91" s="1"/>
      <c r="F91" s="3"/>
    </row>
    <row x14ac:dyDescent="0.25" r="92" customHeight="1" ht="18">
      <c r="A92" s="1" t="s">
        <v>1122</v>
      </c>
      <c r="B92" s="1" t="s">
        <v>160</v>
      </c>
      <c r="C92" s="26">
        <v>76212</v>
      </c>
      <c r="D92" s="79">
        <v>0.85</v>
      </c>
      <c r="E92" s="1"/>
      <c r="F92" s="3"/>
    </row>
    <row x14ac:dyDescent="0.25" r="93" customHeight="1" ht="18">
      <c r="A93" s="1" t="s">
        <v>1122</v>
      </c>
      <c r="B93" s="1" t="s">
        <v>161</v>
      </c>
      <c r="C93" s="26">
        <v>76212</v>
      </c>
      <c r="D93" s="79">
        <v>0.85</v>
      </c>
      <c r="E93" s="1"/>
      <c r="F93" s="3"/>
    </row>
    <row x14ac:dyDescent="0.25" r="94" customHeight="1" ht="18">
      <c r="A94" s="1" t="s">
        <v>1122</v>
      </c>
      <c r="B94" s="1" t="s">
        <v>162</v>
      </c>
      <c r="C94" s="26">
        <v>76212</v>
      </c>
      <c r="D94" s="79">
        <v>0.85</v>
      </c>
      <c r="E94" s="1"/>
      <c r="F94" s="3"/>
    </row>
    <row x14ac:dyDescent="0.25" r="95" customHeight="1" ht="18">
      <c r="A95" s="1" t="s">
        <v>1122</v>
      </c>
      <c r="B95" s="1" t="s">
        <v>163</v>
      </c>
      <c r="C95" s="26">
        <v>76212</v>
      </c>
      <c r="D95" s="79">
        <v>0.85</v>
      </c>
      <c r="E95" s="1"/>
      <c r="F95" s="3"/>
    </row>
    <row x14ac:dyDescent="0.25" r="96" customHeight="1" ht="18">
      <c r="A96" s="1" t="s">
        <v>1122</v>
      </c>
      <c r="B96" s="1" t="s">
        <v>164</v>
      </c>
      <c r="C96" s="26">
        <v>76212</v>
      </c>
      <c r="D96" s="79">
        <v>0.85</v>
      </c>
      <c r="E96" s="1"/>
      <c r="F96" s="3"/>
    </row>
    <row x14ac:dyDescent="0.25" r="97" customHeight="1" ht="18">
      <c r="A97" s="1" t="s">
        <v>1122</v>
      </c>
      <c r="B97" s="1" t="s">
        <v>165</v>
      </c>
      <c r="C97" s="26">
        <v>76212</v>
      </c>
      <c r="D97" s="79">
        <v>0.85</v>
      </c>
      <c r="E97" s="1"/>
      <c r="F97" s="3"/>
    </row>
    <row x14ac:dyDescent="0.25" r="98" customHeight="1" ht="18">
      <c r="A98" s="1" t="s">
        <v>1122</v>
      </c>
      <c r="B98" s="1" t="s">
        <v>166</v>
      </c>
      <c r="C98" s="26">
        <v>76212</v>
      </c>
      <c r="D98" s="79">
        <v>0.85</v>
      </c>
      <c r="E98" s="1"/>
      <c r="F98" s="3"/>
    </row>
    <row x14ac:dyDescent="0.25" r="99" customHeight="1" ht="18">
      <c r="A99" s="1" t="s">
        <v>1122</v>
      </c>
      <c r="B99" s="1" t="s">
        <v>167</v>
      </c>
      <c r="C99" s="26">
        <v>76212</v>
      </c>
      <c r="D99" s="79">
        <v>0.85</v>
      </c>
      <c r="E99" s="1"/>
      <c r="F99" s="3"/>
    </row>
    <row x14ac:dyDescent="0.25" r="100" customHeight="1" ht="18">
      <c r="A100" s="1" t="s">
        <v>1122</v>
      </c>
      <c r="B100" s="1" t="s">
        <v>168</v>
      </c>
      <c r="C100" s="26">
        <v>76212</v>
      </c>
      <c r="D100" s="79">
        <v>0.85</v>
      </c>
      <c r="E100" s="1"/>
      <c r="F100" s="3"/>
    </row>
    <row x14ac:dyDescent="0.25" r="101" customHeight="1" ht="18">
      <c r="A101" s="1" t="s">
        <v>1122</v>
      </c>
      <c r="B101" s="1" t="s">
        <v>169</v>
      </c>
      <c r="C101" s="26">
        <v>76212</v>
      </c>
      <c r="D101" s="79">
        <v>0.85</v>
      </c>
      <c r="E101" s="1"/>
      <c r="F1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5"/>
  <sheetViews>
    <sheetView workbookViewId="0"/>
  </sheetViews>
  <sheetFormatPr defaultRowHeight="15" x14ac:dyDescent="0.25"/>
  <cols>
    <col min="1" max="1" style="60" width="13.005" customWidth="1" bestFit="1"/>
    <col min="2" max="2" style="60" width="14.005" customWidth="1" bestFit="1"/>
    <col min="3" max="3" style="60" width="23.14785714285714" customWidth="1" bestFit="1"/>
    <col min="4" max="4" style="60" width="23.14785714285714" customWidth="1" bestFit="1"/>
    <col min="5" max="5" style="60" width="11.290714285714287" customWidth="1" bestFit="1"/>
    <col min="6" max="6" style="62" width="11.290714285714287" customWidth="1" bestFit="1"/>
    <col min="7" max="7" style="61" width="15.290714285714287" customWidth="1" bestFit="1"/>
    <col min="8" max="8" style="60" width="32.43357142857143" customWidth="1" bestFit="1"/>
    <col min="9" max="9" style="61" width="11.862142857142858" customWidth="1" bestFit="1"/>
    <col min="10" max="10" style="84" width="11.290714285714287" customWidth="1" bestFit="1"/>
  </cols>
  <sheetData>
    <row x14ac:dyDescent="0.25" r="1" customHeight="1" ht="26.399999999999995" customFormat="1" s="8">
      <c r="A1" s="39" t="s">
        <v>943</v>
      </c>
      <c r="B1" s="39" t="s">
        <v>944</v>
      </c>
      <c r="C1" s="39" t="s">
        <v>898</v>
      </c>
      <c r="D1" s="39" t="s">
        <v>945</v>
      </c>
      <c r="E1" s="39" t="s">
        <v>946</v>
      </c>
      <c r="F1" s="41" t="s">
        <v>947</v>
      </c>
      <c r="G1" s="40" t="s">
        <v>948</v>
      </c>
      <c r="H1" s="39" t="s">
        <v>949</v>
      </c>
      <c r="I1" s="42" t="s">
        <v>950</v>
      </c>
      <c r="J1" s="43" t="s">
        <v>951</v>
      </c>
    </row>
    <row x14ac:dyDescent="0.25" r="2" customHeight="1" ht="18">
      <c r="A2" s="50" t="s">
        <v>962</v>
      </c>
      <c r="B2" s="50" t="s">
        <v>990</v>
      </c>
      <c r="C2" s="50" t="s">
        <v>900</v>
      </c>
      <c r="D2" s="50" t="s">
        <v>968</v>
      </c>
      <c r="E2" s="50" t="s">
        <v>955</v>
      </c>
      <c r="F2" s="51">
        <v>93.09</v>
      </c>
      <c r="G2" s="45">
        <v>1</v>
      </c>
      <c r="H2" s="50" t="s">
        <v>991</v>
      </c>
      <c r="I2" s="45">
        <v>1</v>
      </c>
      <c r="J2" s="52">
        <v>0.85</v>
      </c>
    </row>
    <row x14ac:dyDescent="0.25" r="3" customHeight="1" ht="18">
      <c r="A3" s="50" t="s">
        <v>962</v>
      </c>
      <c r="B3" s="50" t="s">
        <v>990</v>
      </c>
      <c r="C3" s="50" t="s">
        <v>901</v>
      </c>
      <c r="D3" s="50" t="s">
        <v>969</v>
      </c>
      <c r="E3" s="50" t="s">
        <v>955</v>
      </c>
      <c r="F3" s="51">
        <v>56.8</v>
      </c>
      <c r="G3" s="45">
        <v>1</v>
      </c>
      <c r="H3" s="50" t="s">
        <v>991</v>
      </c>
      <c r="I3" s="45">
        <v>1</v>
      </c>
      <c r="J3" s="52">
        <v>0.85</v>
      </c>
    </row>
    <row x14ac:dyDescent="0.25" r="4" customHeight="1" ht="18">
      <c r="A4" s="50" t="s">
        <v>962</v>
      </c>
      <c r="B4" s="50" t="s">
        <v>990</v>
      </c>
      <c r="C4" s="50" t="s">
        <v>902</v>
      </c>
      <c r="D4" s="50" t="s">
        <v>970</v>
      </c>
      <c r="E4" s="50" t="s">
        <v>955</v>
      </c>
      <c r="F4" s="51">
        <v>93.09</v>
      </c>
      <c r="G4" s="45">
        <v>1</v>
      </c>
      <c r="H4" s="50" t="s">
        <v>991</v>
      </c>
      <c r="I4" s="45">
        <v>1</v>
      </c>
      <c r="J4" s="52">
        <v>0.85</v>
      </c>
    </row>
    <row x14ac:dyDescent="0.25" r="5" customHeight="1" ht="18">
      <c r="A5" s="50" t="s">
        <v>962</v>
      </c>
      <c r="B5" s="50" t="s">
        <v>990</v>
      </c>
      <c r="C5" s="50" t="s">
        <v>903</v>
      </c>
      <c r="D5" s="50" t="s">
        <v>971</v>
      </c>
      <c r="E5" s="50" t="s">
        <v>955</v>
      </c>
      <c r="F5" s="51">
        <v>79.41</v>
      </c>
      <c r="G5" s="45">
        <v>1</v>
      </c>
      <c r="H5" s="50" t="s">
        <v>991</v>
      </c>
      <c r="I5" s="45">
        <v>1</v>
      </c>
      <c r="J5" s="52">
        <v>0.85</v>
      </c>
    </row>
    <row x14ac:dyDescent="0.25" r="6" customHeight="1" ht="18">
      <c r="A6" s="50" t="s">
        <v>962</v>
      </c>
      <c r="B6" s="50" t="s">
        <v>990</v>
      </c>
      <c r="C6" s="50" t="s">
        <v>904</v>
      </c>
      <c r="D6" s="50" t="s">
        <v>972</v>
      </c>
      <c r="E6" s="50" t="s">
        <v>955</v>
      </c>
      <c r="F6" s="45">
        <v>80</v>
      </c>
      <c r="G6" s="45">
        <v>1</v>
      </c>
      <c r="H6" s="50" t="s">
        <v>991</v>
      </c>
      <c r="I6" s="45">
        <v>1</v>
      </c>
      <c r="J6" s="52">
        <v>0.85</v>
      </c>
    </row>
    <row x14ac:dyDescent="0.25" r="7" customHeight="1" ht="18">
      <c r="A7" s="50" t="s">
        <v>962</v>
      </c>
      <c r="B7" s="50" t="s">
        <v>990</v>
      </c>
      <c r="C7" s="50" t="s">
        <v>905</v>
      </c>
      <c r="D7" s="50" t="s">
        <v>973</v>
      </c>
      <c r="E7" s="50" t="s">
        <v>955</v>
      </c>
      <c r="F7" s="45">
        <v>87</v>
      </c>
      <c r="G7" s="45">
        <v>1</v>
      </c>
      <c r="H7" s="50" t="s">
        <v>991</v>
      </c>
      <c r="I7" s="45">
        <v>1</v>
      </c>
      <c r="J7" s="52">
        <v>0.85</v>
      </c>
    </row>
    <row x14ac:dyDescent="0.25" r="8" customHeight="1" ht="18">
      <c r="A8" s="50" t="s">
        <v>962</v>
      </c>
      <c r="B8" s="50" t="s">
        <v>990</v>
      </c>
      <c r="C8" s="50" t="s">
        <v>906</v>
      </c>
      <c r="D8" s="50" t="s">
        <v>974</v>
      </c>
      <c r="E8" s="50" t="s">
        <v>955</v>
      </c>
      <c r="F8" s="45">
        <v>71</v>
      </c>
      <c r="G8" s="45">
        <v>1</v>
      </c>
      <c r="H8" s="50" t="s">
        <v>991</v>
      </c>
      <c r="I8" s="45">
        <v>1</v>
      </c>
      <c r="J8" s="52">
        <v>0.85</v>
      </c>
    </row>
    <row x14ac:dyDescent="0.25" r="9" customHeight="1" ht="18">
      <c r="A9" s="50" t="s">
        <v>962</v>
      </c>
      <c r="B9" s="50" t="s">
        <v>990</v>
      </c>
      <c r="C9" s="50" t="s">
        <v>907</v>
      </c>
      <c r="D9" s="50" t="s">
        <v>907</v>
      </c>
      <c r="E9" s="50" t="s">
        <v>955</v>
      </c>
      <c r="F9" s="45">
        <v>71</v>
      </c>
      <c r="G9" s="45">
        <v>1</v>
      </c>
      <c r="H9" s="50" t="s">
        <v>991</v>
      </c>
      <c r="I9" s="45">
        <v>1</v>
      </c>
      <c r="J9" s="52">
        <v>0.85</v>
      </c>
    </row>
    <row x14ac:dyDescent="0.25" r="10" customHeight="1" ht="18">
      <c r="A10" s="50" t="s">
        <v>962</v>
      </c>
      <c r="B10" s="50" t="s">
        <v>990</v>
      </c>
      <c r="C10" s="50" t="s">
        <v>908</v>
      </c>
      <c r="D10" s="50" t="s">
        <v>975</v>
      </c>
      <c r="E10" s="50" t="s">
        <v>955</v>
      </c>
      <c r="F10" s="45">
        <v>71</v>
      </c>
      <c r="G10" s="45">
        <v>1</v>
      </c>
      <c r="H10" s="50" t="s">
        <v>991</v>
      </c>
      <c r="I10" s="45">
        <v>1</v>
      </c>
      <c r="J10" s="52">
        <v>0.85</v>
      </c>
    </row>
    <row x14ac:dyDescent="0.25" r="11" customHeight="1" ht="18">
      <c r="A11" s="50" t="s">
        <v>962</v>
      </c>
      <c r="B11" s="50" t="s">
        <v>990</v>
      </c>
      <c r="C11" s="50" t="s">
        <v>916</v>
      </c>
      <c r="D11" s="50" t="s">
        <v>992</v>
      </c>
      <c r="E11" s="50" t="s">
        <v>955</v>
      </c>
      <c r="F11" s="51">
        <v>34.37</v>
      </c>
      <c r="G11" s="45">
        <v>1</v>
      </c>
      <c r="H11" s="50" t="s">
        <v>784</v>
      </c>
      <c r="I11" s="45">
        <v>1</v>
      </c>
      <c r="J11" s="52">
        <v>0.85</v>
      </c>
    </row>
    <row x14ac:dyDescent="0.25" r="12" customHeight="1" ht="18">
      <c r="A12" s="50" t="s">
        <v>962</v>
      </c>
      <c r="B12" s="50" t="s">
        <v>990</v>
      </c>
      <c r="C12" s="50" t="s">
        <v>917</v>
      </c>
      <c r="D12" s="50" t="s">
        <v>993</v>
      </c>
      <c r="E12" s="50" t="s">
        <v>955</v>
      </c>
      <c r="F12" s="51">
        <v>34.37</v>
      </c>
      <c r="G12" s="45">
        <v>1</v>
      </c>
      <c r="H12" s="50" t="s">
        <v>784</v>
      </c>
      <c r="I12" s="45">
        <v>1</v>
      </c>
      <c r="J12" s="52">
        <v>0.85</v>
      </c>
    </row>
    <row x14ac:dyDescent="0.25" r="13" customHeight="1" ht="18">
      <c r="A13" s="50" t="s">
        <v>962</v>
      </c>
      <c r="B13" s="50" t="s">
        <v>990</v>
      </c>
      <c r="C13" s="50" t="s">
        <v>910</v>
      </c>
      <c r="D13" s="50" t="s">
        <v>964</v>
      </c>
      <c r="E13" s="50" t="s">
        <v>955</v>
      </c>
      <c r="F13" s="51">
        <v>34.45</v>
      </c>
      <c r="G13" s="45">
        <v>1</v>
      </c>
      <c r="H13" s="50" t="s">
        <v>792</v>
      </c>
      <c r="I13" s="45">
        <v>1</v>
      </c>
      <c r="J13" s="52">
        <v>0.85</v>
      </c>
    </row>
    <row x14ac:dyDescent="0.25" r="14" customHeight="1" ht="18">
      <c r="A14" s="50" t="s">
        <v>962</v>
      </c>
      <c r="B14" s="50" t="s">
        <v>990</v>
      </c>
      <c r="C14" s="50" t="s">
        <v>927</v>
      </c>
      <c r="D14" s="50" t="s">
        <v>927</v>
      </c>
      <c r="E14" s="50" t="s">
        <v>955</v>
      </c>
      <c r="F14" s="51">
        <v>71.34</v>
      </c>
      <c r="G14" s="45">
        <v>1</v>
      </c>
      <c r="H14" s="50" t="s">
        <v>792</v>
      </c>
      <c r="I14" s="45">
        <v>1</v>
      </c>
      <c r="J14" s="52">
        <v>0.85</v>
      </c>
    </row>
    <row x14ac:dyDescent="0.25" r="15" customHeight="1" ht="18">
      <c r="A15" s="50" t="s">
        <v>962</v>
      </c>
      <c r="B15" s="50" t="s">
        <v>990</v>
      </c>
      <c r="C15" s="50" t="s">
        <v>919</v>
      </c>
      <c r="D15" s="50" t="s">
        <v>965</v>
      </c>
      <c r="E15" s="50" t="s">
        <v>955</v>
      </c>
      <c r="F15" s="51">
        <v>42.2</v>
      </c>
      <c r="G15" s="45">
        <v>1</v>
      </c>
      <c r="H15" s="50" t="s">
        <v>1034</v>
      </c>
      <c r="I15" s="45">
        <v>1</v>
      </c>
      <c r="J15" s="52">
        <v>0.85</v>
      </c>
    </row>
    <row x14ac:dyDescent="0.25" r="16" customHeight="1" ht="18">
      <c r="A16" s="50" t="s">
        <v>962</v>
      </c>
      <c r="B16" s="50" t="s">
        <v>990</v>
      </c>
      <c r="C16" s="86" t="s">
        <v>920</v>
      </c>
      <c r="D16" s="86" t="s">
        <v>920</v>
      </c>
      <c r="E16" s="50" t="s">
        <v>955</v>
      </c>
      <c r="F16" s="51">
        <v>49.5</v>
      </c>
      <c r="G16" s="45">
        <v>1</v>
      </c>
      <c r="H16" s="50" t="s">
        <v>1034</v>
      </c>
      <c r="I16" s="45">
        <v>1</v>
      </c>
      <c r="J16" s="52">
        <v>0.85</v>
      </c>
    </row>
    <row x14ac:dyDescent="0.25" r="17" customHeight="1" ht="18">
      <c r="A17" s="50" t="s">
        <v>962</v>
      </c>
      <c r="B17" s="50" t="s">
        <v>990</v>
      </c>
      <c r="C17" s="50" t="s">
        <v>912</v>
      </c>
      <c r="D17" s="50" t="s">
        <v>912</v>
      </c>
      <c r="E17" s="50" t="s">
        <v>955</v>
      </c>
      <c r="F17" s="51">
        <v>28</v>
      </c>
      <c r="G17" s="45">
        <v>1</v>
      </c>
      <c r="H17" s="50" t="s">
        <v>815</v>
      </c>
      <c r="I17" s="45">
        <v>1</v>
      </c>
      <c r="J17" s="52">
        <v>0.85</v>
      </c>
    </row>
    <row x14ac:dyDescent="0.25" r="18" customHeight="1" ht="18">
      <c r="A18" s="50" t="s">
        <v>962</v>
      </c>
      <c r="B18" s="50" t="s">
        <v>990</v>
      </c>
      <c r="C18" s="50" t="s">
        <v>914</v>
      </c>
      <c r="D18" s="50" t="s">
        <v>914</v>
      </c>
      <c r="E18" s="50" t="s">
        <v>955</v>
      </c>
      <c r="F18" s="51">
        <v>28</v>
      </c>
      <c r="G18" s="45">
        <v>1</v>
      </c>
      <c r="H18" s="50" t="s">
        <v>815</v>
      </c>
      <c r="I18" s="45">
        <v>1</v>
      </c>
      <c r="J18" s="52">
        <v>0.85</v>
      </c>
    </row>
    <row x14ac:dyDescent="0.25" r="19" customHeight="1" ht="18">
      <c r="A19" s="50" t="s">
        <v>962</v>
      </c>
      <c r="B19" s="50" t="s">
        <v>990</v>
      </c>
      <c r="C19" s="50" t="s">
        <v>913</v>
      </c>
      <c r="D19" s="50" t="s">
        <v>913</v>
      </c>
      <c r="E19" s="50" t="s">
        <v>955</v>
      </c>
      <c r="F19" s="51">
        <v>28</v>
      </c>
      <c r="G19" s="45">
        <v>1</v>
      </c>
      <c r="H19" s="50" t="s">
        <v>815</v>
      </c>
      <c r="I19" s="45">
        <v>1</v>
      </c>
      <c r="J19" s="52">
        <v>0.85</v>
      </c>
    </row>
    <row x14ac:dyDescent="0.25" r="20" customHeight="1" ht="18">
      <c r="A20" s="50" t="s">
        <v>962</v>
      </c>
      <c r="B20" s="50" t="s">
        <v>990</v>
      </c>
      <c r="C20" s="50" t="s">
        <v>911</v>
      </c>
      <c r="D20" s="50" t="s">
        <v>911</v>
      </c>
      <c r="E20" s="50" t="s">
        <v>955</v>
      </c>
      <c r="F20" s="51">
        <v>28</v>
      </c>
      <c r="G20" s="45">
        <v>1</v>
      </c>
      <c r="H20" s="50" t="s">
        <v>815</v>
      </c>
      <c r="I20" s="45">
        <v>1</v>
      </c>
      <c r="J20" s="52">
        <v>0.85</v>
      </c>
    </row>
    <row x14ac:dyDescent="0.25" r="21" customHeight="1" ht="18">
      <c r="A21" s="50" t="s">
        <v>952</v>
      </c>
      <c r="B21" s="50" t="s">
        <v>990</v>
      </c>
      <c r="C21" s="50" t="s">
        <v>921</v>
      </c>
      <c r="D21" s="50" t="s">
        <v>995</v>
      </c>
      <c r="E21" s="50" t="s">
        <v>955</v>
      </c>
      <c r="F21" s="51">
        <v>56.9</v>
      </c>
      <c r="G21" s="45">
        <v>1</v>
      </c>
      <c r="H21" s="50" t="s">
        <v>1035</v>
      </c>
      <c r="I21" s="45">
        <v>1</v>
      </c>
      <c r="J21" s="52">
        <v>0.85</v>
      </c>
    </row>
    <row x14ac:dyDescent="0.25" r="22" customHeight="1" ht="18">
      <c r="A22" s="50" t="s">
        <v>952</v>
      </c>
      <c r="B22" s="50" t="s">
        <v>990</v>
      </c>
      <c r="C22" s="50" t="s">
        <v>921</v>
      </c>
      <c r="D22" s="50" t="s">
        <v>977</v>
      </c>
      <c r="E22" s="50" t="s">
        <v>955</v>
      </c>
      <c r="F22" s="51">
        <v>30.9</v>
      </c>
      <c r="G22" s="45">
        <v>1</v>
      </c>
      <c r="H22" s="50" t="s">
        <v>1035</v>
      </c>
      <c r="I22" s="45">
        <v>1</v>
      </c>
      <c r="J22" s="52">
        <v>0.85</v>
      </c>
    </row>
    <row x14ac:dyDescent="0.25" r="23" customHeight="1" ht="18">
      <c r="A23" s="71" t="s">
        <v>952</v>
      </c>
      <c r="B23" s="50" t="s">
        <v>990</v>
      </c>
      <c r="C23" s="50" t="s">
        <v>922</v>
      </c>
      <c r="D23" s="50" t="s">
        <v>997</v>
      </c>
      <c r="E23" s="50" t="s">
        <v>955</v>
      </c>
      <c r="F23" s="51">
        <v>56.9</v>
      </c>
      <c r="G23" s="45">
        <v>1</v>
      </c>
      <c r="H23" s="50" t="s">
        <v>1035</v>
      </c>
      <c r="I23" s="45">
        <v>1</v>
      </c>
      <c r="J23" s="52">
        <v>0.85</v>
      </c>
    </row>
    <row x14ac:dyDescent="0.25" r="24" customHeight="1" ht="18">
      <c r="A24" s="71" t="s">
        <v>952</v>
      </c>
      <c r="B24" s="50" t="s">
        <v>990</v>
      </c>
      <c r="C24" s="50" t="s">
        <v>922</v>
      </c>
      <c r="D24" s="50" t="s">
        <v>981</v>
      </c>
      <c r="E24" s="50" t="s">
        <v>955</v>
      </c>
      <c r="F24" s="51">
        <v>30.9</v>
      </c>
      <c r="G24" s="45">
        <v>1</v>
      </c>
      <c r="H24" s="50" t="s">
        <v>1035</v>
      </c>
      <c r="I24" s="45">
        <v>1</v>
      </c>
      <c r="J24" s="52">
        <v>0.85</v>
      </c>
    </row>
    <row x14ac:dyDescent="0.25" r="25" customHeight="1" ht="18">
      <c r="A25" s="71" t="s">
        <v>952</v>
      </c>
      <c r="B25" s="50" t="s">
        <v>990</v>
      </c>
      <c r="C25" s="50" t="s">
        <v>923</v>
      </c>
      <c r="D25" s="50" t="s">
        <v>958</v>
      </c>
      <c r="E25" s="50" t="s">
        <v>955</v>
      </c>
      <c r="F25" s="51">
        <v>56.9</v>
      </c>
      <c r="G25" s="45">
        <v>1</v>
      </c>
      <c r="H25" s="50" t="s">
        <v>1035</v>
      </c>
      <c r="I25" s="45">
        <v>1</v>
      </c>
      <c r="J25" s="52">
        <v>0.85</v>
      </c>
    </row>
    <row x14ac:dyDescent="0.25" r="26" customHeight="1" ht="18">
      <c r="A26" s="71" t="s">
        <v>952</v>
      </c>
      <c r="B26" s="50" t="s">
        <v>990</v>
      </c>
      <c r="C26" s="50" t="s">
        <v>923</v>
      </c>
      <c r="D26" s="50" t="s">
        <v>986</v>
      </c>
      <c r="E26" s="50" t="s">
        <v>955</v>
      </c>
      <c r="F26" s="51">
        <v>30.9</v>
      </c>
      <c r="G26" s="45">
        <v>1</v>
      </c>
      <c r="H26" s="50" t="s">
        <v>1035</v>
      </c>
      <c r="I26" s="45">
        <v>1</v>
      </c>
      <c r="J26" s="52">
        <v>0.85</v>
      </c>
    </row>
    <row x14ac:dyDescent="0.25" r="27" customHeight="1" ht="18">
      <c r="A27" s="71" t="s">
        <v>952</v>
      </c>
      <c r="B27" s="50" t="s">
        <v>990</v>
      </c>
      <c r="C27" s="50" t="s">
        <v>936</v>
      </c>
      <c r="D27" s="50" t="s">
        <v>1036</v>
      </c>
      <c r="E27" s="50" t="s">
        <v>955</v>
      </c>
      <c r="F27" s="51">
        <v>76</v>
      </c>
      <c r="G27" s="45">
        <v>1</v>
      </c>
      <c r="H27" s="50" t="s">
        <v>838</v>
      </c>
      <c r="I27" s="45">
        <v>1</v>
      </c>
      <c r="J27" s="52">
        <v>0.85</v>
      </c>
    </row>
    <row x14ac:dyDescent="0.25" r="28" customHeight="1" ht="18">
      <c r="A28" s="71" t="s">
        <v>952</v>
      </c>
      <c r="B28" s="50" t="s">
        <v>990</v>
      </c>
      <c r="C28" s="50" t="s">
        <v>936</v>
      </c>
      <c r="D28" s="50" t="s">
        <v>1037</v>
      </c>
      <c r="E28" s="50" t="s">
        <v>955</v>
      </c>
      <c r="F28" s="51">
        <v>45</v>
      </c>
      <c r="G28" s="45">
        <v>1</v>
      </c>
      <c r="H28" s="50" t="s">
        <v>838</v>
      </c>
      <c r="I28" s="45">
        <v>1</v>
      </c>
      <c r="J28" s="52">
        <v>0.85</v>
      </c>
    </row>
    <row x14ac:dyDescent="0.25" r="29" customHeight="1" ht="18">
      <c r="A29" s="71" t="s">
        <v>952</v>
      </c>
      <c r="B29" s="50" t="s">
        <v>990</v>
      </c>
      <c r="C29" s="50" t="s">
        <v>936</v>
      </c>
      <c r="D29" s="50" t="s">
        <v>1038</v>
      </c>
      <c r="E29" s="50" t="s">
        <v>955</v>
      </c>
      <c r="F29" s="51">
        <v>45</v>
      </c>
      <c r="G29" s="45">
        <v>1</v>
      </c>
      <c r="H29" s="50" t="s">
        <v>838</v>
      </c>
      <c r="I29" s="45">
        <v>1</v>
      </c>
      <c r="J29" s="52">
        <v>0.85</v>
      </c>
    </row>
    <row x14ac:dyDescent="0.25" r="30" customHeight="1" ht="18">
      <c r="A30" s="71" t="s">
        <v>952</v>
      </c>
      <c r="B30" s="50" t="s">
        <v>990</v>
      </c>
      <c r="C30" s="50" t="s">
        <v>937</v>
      </c>
      <c r="D30" s="50" t="s">
        <v>1036</v>
      </c>
      <c r="E30" s="50" t="s">
        <v>955</v>
      </c>
      <c r="F30" s="51">
        <v>76</v>
      </c>
      <c r="G30" s="45">
        <v>1</v>
      </c>
      <c r="H30" s="50" t="s">
        <v>838</v>
      </c>
      <c r="I30" s="45">
        <v>1</v>
      </c>
      <c r="J30" s="52">
        <v>0.85</v>
      </c>
    </row>
    <row x14ac:dyDescent="0.25" r="31" customHeight="1" ht="18">
      <c r="A31" s="71" t="s">
        <v>952</v>
      </c>
      <c r="B31" s="50" t="s">
        <v>990</v>
      </c>
      <c r="C31" s="50" t="s">
        <v>937</v>
      </c>
      <c r="D31" s="50" t="s">
        <v>1037</v>
      </c>
      <c r="E31" s="50" t="s">
        <v>955</v>
      </c>
      <c r="F31" s="51">
        <v>45</v>
      </c>
      <c r="G31" s="45">
        <v>1</v>
      </c>
      <c r="H31" s="50" t="s">
        <v>838</v>
      </c>
      <c r="I31" s="45">
        <v>1</v>
      </c>
      <c r="J31" s="52">
        <v>0.85</v>
      </c>
    </row>
    <row x14ac:dyDescent="0.25" r="32" customHeight="1" ht="18">
      <c r="A32" s="71" t="s">
        <v>952</v>
      </c>
      <c r="B32" s="50" t="s">
        <v>990</v>
      </c>
      <c r="C32" s="50" t="s">
        <v>937</v>
      </c>
      <c r="D32" s="50" t="s">
        <v>1038</v>
      </c>
      <c r="E32" s="50" t="s">
        <v>955</v>
      </c>
      <c r="F32" s="51">
        <v>45</v>
      </c>
      <c r="G32" s="45">
        <v>1</v>
      </c>
      <c r="H32" s="50" t="s">
        <v>838</v>
      </c>
      <c r="I32" s="45">
        <v>1</v>
      </c>
      <c r="J32" s="52">
        <v>0.85</v>
      </c>
    </row>
    <row x14ac:dyDescent="0.25" r="33" customHeight="1" ht="18">
      <c r="A33" s="71" t="s">
        <v>952</v>
      </c>
      <c r="B33" s="50" t="s">
        <v>990</v>
      </c>
      <c r="C33" s="50" t="s">
        <v>933</v>
      </c>
      <c r="D33" s="50" t="s">
        <v>1039</v>
      </c>
      <c r="E33" s="50" t="s">
        <v>955</v>
      </c>
      <c r="F33" s="51">
        <v>31</v>
      </c>
      <c r="G33" s="45">
        <v>1</v>
      </c>
      <c r="H33" s="50" t="s">
        <v>841</v>
      </c>
      <c r="I33" s="45">
        <v>1</v>
      </c>
      <c r="J33" s="52">
        <v>0.85</v>
      </c>
    </row>
    <row x14ac:dyDescent="0.25" r="34" customHeight="1" ht="18">
      <c r="A34" s="71" t="s">
        <v>952</v>
      </c>
      <c r="B34" s="50" t="s">
        <v>990</v>
      </c>
      <c r="C34" s="50" t="s">
        <v>933</v>
      </c>
      <c r="D34" s="50" t="s">
        <v>1040</v>
      </c>
      <c r="E34" s="50" t="s">
        <v>955</v>
      </c>
      <c r="F34" s="51">
        <v>37</v>
      </c>
      <c r="G34" s="45">
        <v>1</v>
      </c>
      <c r="H34" s="50" t="s">
        <v>841</v>
      </c>
      <c r="I34" s="45">
        <v>1</v>
      </c>
      <c r="J34" s="52">
        <v>0.85</v>
      </c>
    </row>
    <row x14ac:dyDescent="0.25" r="35" customHeight="1" ht="18">
      <c r="A35" s="71" t="s">
        <v>952</v>
      </c>
      <c r="B35" s="50" t="s">
        <v>990</v>
      </c>
      <c r="C35" s="50" t="s">
        <v>933</v>
      </c>
      <c r="D35" s="50" t="s">
        <v>1041</v>
      </c>
      <c r="E35" s="50" t="s">
        <v>955</v>
      </c>
      <c r="F35" s="51">
        <v>6</v>
      </c>
      <c r="G35" s="45">
        <v>1</v>
      </c>
      <c r="H35" s="50" t="s">
        <v>841</v>
      </c>
      <c r="I35" s="45">
        <v>1</v>
      </c>
      <c r="J35" s="52">
        <v>0.85</v>
      </c>
    </row>
    <row x14ac:dyDescent="0.25" r="36" customHeight="1" ht="18">
      <c r="A36" s="71" t="s">
        <v>952</v>
      </c>
      <c r="B36" s="50" t="s">
        <v>990</v>
      </c>
      <c r="C36" s="50" t="s">
        <v>933</v>
      </c>
      <c r="D36" s="50" t="s">
        <v>1042</v>
      </c>
      <c r="E36" s="50" t="s">
        <v>955</v>
      </c>
      <c r="F36" s="51">
        <v>60</v>
      </c>
      <c r="G36" s="45">
        <v>1</v>
      </c>
      <c r="H36" s="50" t="s">
        <v>841</v>
      </c>
      <c r="I36" s="45">
        <v>1</v>
      </c>
      <c r="J36" s="52">
        <v>0.85</v>
      </c>
    </row>
    <row x14ac:dyDescent="0.25" r="37" customHeight="1" ht="18">
      <c r="A37" s="71" t="s">
        <v>952</v>
      </c>
      <c r="B37" s="50" t="s">
        <v>990</v>
      </c>
      <c r="C37" s="50" t="s">
        <v>930</v>
      </c>
      <c r="D37" s="50" t="s">
        <v>1043</v>
      </c>
      <c r="E37" s="50" t="s">
        <v>955</v>
      </c>
      <c r="F37" s="51">
        <v>103</v>
      </c>
      <c r="G37" s="45">
        <v>1</v>
      </c>
      <c r="H37" s="50" t="s">
        <v>841</v>
      </c>
      <c r="I37" s="45">
        <v>1</v>
      </c>
      <c r="J37" s="52">
        <v>0.85</v>
      </c>
    </row>
    <row x14ac:dyDescent="0.25" r="38" customHeight="1" ht="18">
      <c r="A38" s="71" t="s">
        <v>952</v>
      </c>
      <c r="B38" s="50" t="s">
        <v>990</v>
      </c>
      <c r="C38" s="50" t="s">
        <v>930</v>
      </c>
      <c r="D38" s="50" t="s">
        <v>1044</v>
      </c>
      <c r="E38" s="50" t="s">
        <v>955</v>
      </c>
      <c r="F38" s="51">
        <v>26</v>
      </c>
      <c r="G38" s="45">
        <v>1</v>
      </c>
      <c r="H38" s="50" t="s">
        <v>841</v>
      </c>
      <c r="I38" s="45">
        <v>1</v>
      </c>
      <c r="J38" s="52">
        <v>0.85</v>
      </c>
    </row>
    <row x14ac:dyDescent="0.25" r="39" customHeight="1" ht="18">
      <c r="A39" s="71" t="s">
        <v>952</v>
      </c>
      <c r="B39" s="50" t="s">
        <v>990</v>
      </c>
      <c r="C39" s="50" t="s">
        <v>930</v>
      </c>
      <c r="D39" s="50" t="s">
        <v>1045</v>
      </c>
      <c r="E39" s="50" t="s">
        <v>955</v>
      </c>
      <c r="F39" s="51">
        <v>35</v>
      </c>
      <c r="G39" s="45">
        <v>1</v>
      </c>
      <c r="H39" s="50" t="s">
        <v>841</v>
      </c>
      <c r="I39" s="45">
        <v>1</v>
      </c>
      <c r="J39" s="52">
        <v>0.85</v>
      </c>
    </row>
    <row x14ac:dyDescent="0.25" r="40" customHeight="1" ht="18">
      <c r="A40" s="71" t="s">
        <v>952</v>
      </c>
      <c r="B40" s="50" t="s">
        <v>990</v>
      </c>
      <c r="C40" s="50" t="s">
        <v>930</v>
      </c>
      <c r="D40" s="50" t="s">
        <v>1046</v>
      </c>
      <c r="E40" s="50" t="s">
        <v>955</v>
      </c>
      <c r="F40" s="51">
        <v>21</v>
      </c>
      <c r="G40" s="45">
        <v>1</v>
      </c>
      <c r="H40" s="50" t="s">
        <v>841</v>
      </c>
      <c r="I40" s="45">
        <v>1</v>
      </c>
      <c r="J40" s="52">
        <v>0.85</v>
      </c>
    </row>
    <row x14ac:dyDescent="0.25" r="41" customHeight="1" ht="18">
      <c r="A41" s="71" t="s">
        <v>952</v>
      </c>
      <c r="B41" s="50" t="s">
        <v>990</v>
      </c>
      <c r="C41" s="50" t="s">
        <v>930</v>
      </c>
      <c r="D41" s="50" t="s">
        <v>1047</v>
      </c>
      <c r="E41" s="50" t="s">
        <v>955</v>
      </c>
      <c r="F41" s="51">
        <v>13</v>
      </c>
      <c r="G41" s="45">
        <v>1</v>
      </c>
      <c r="H41" s="50" t="s">
        <v>841</v>
      </c>
      <c r="I41" s="45">
        <v>1</v>
      </c>
      <c r="J41" s="52">
        <v>0.85</v>
      </c>
    </row>
    <row x14ac:dyDescent="0.25" r="42" customHeight="1" ht="18">
      <c r="A42" s="71" t="s">
        <v>952</v>
      </c>
      <c r="B42" s="50" t="s">
        <v>990</v>
      </c>
      <c r="C42" s="50" t="s">
        <v>929</v>
      </c>
      <c r="D42" s="50" t="s">
        <v>1043</v>
      </c>
      <c r="E42" s="50" t="s">
        <v>955</v>
      </c>
      <c r="F42" s="51">
        <v>103</v>
      </c>
      <c r="G42" s="45">
        <v>1</v>
      </c>
      <c r="H42" s="50" t="s">
        <v>841</v>
      </c>
      <c r="I42" s="45">
        <v>1</v>
      </c>
      <c r="J42" s="52">
        <v>0.85</v>
      </c>
    </row>
    <row x14ac:dyDescent="0.25" r="43" customHeight="1" ht="18">
      <c r="A43" s="71" t="s">
        <v>952</v>
      </c>
      <c r="B43" s="50" t="s">
        <v>990</v>
      </c>
      <c r="C43" s="50" t="s">
        <v>929</v>
      </c>
      <c r="D43" s="50" t="s">
        <v>1044</v>
      </c>
      <c r="E43" s="50" t="s">
        <v>955</v>
      </c>
      <c r="F43" s="51">
        <v>26</v>
      </c>
      <c r="G43" s="45">
        <v>1</v>
      </c>
      <c r="H43" s="50" t="s">
        <v>841</v>
      </c>
      <c r="I43" s="45">
        <v>1</v>
      </c>
      <c r="J43" s="52">
        <v>0.85</v>
      </c>
    </row>
    <row x14ac:dyDescent="0.25" r="44" customHeight="1" ht="18">
      <c r="A44" s="71" t="s">
        <v>952</v>
      </c>
      <c r="B44" s="50" t="s">
        <v>990</v>
      </c>
      <c r="C44" s="50" t="s">
        <v>929</v>
      </c>
      <c r="D44" s="50" t="s">
        <v>1045</v>
      </c>
      <c r="E44" s="50" t="s">
        <v>955</v>
      </c>
      <c r="F44" s="51">
        <v>35</v>
      </c>
      <c r="G44" s="45">
        <v>1</v>
      </c>
      <c r="H44" s="50" t="s">
        <v>841</v>
      </c>
      <c r="I44" s="45">
        <v>1</v>
      </c>
      <c r="J44" s="52">
        <v>0.85</v>
      </c>
    </row>
    <row x14ac:dyDescent="0.25" r="45" customHeight="1" ht="18">
      <c r="A45" s="71" t="s">
        <v>952</v>
      </c>
      <c r="B45" s="50" t="s">
        <v>990</v>
      </c>
      <c r="C45" s="50" t="s">
        <v>929</v>
      </c>
      <c r="D45" s="50" t="s">
        <v>1046</v>
      </c>
      <c r="E45" s="50" t="s">
        <v>955</v>
      </c>
      <c r="F45" s="51">
        <v>21</v>
      </c>
      <c r="G45" s="45">
        <v>1</v>
      </c>
      <c r="H45" s="50" t="s">
        <v>841</v>
      </c>
      <c r="I45" s="45">
        <v>1</v>
      </c>
      <c r="J45" s="52">
        <v>0.85</v>
      </c>
    </row>
    <row x14ac:dyDescent="0.25" r="46" customHeight="1" ht="18">
      <c r="A46" s="71" t="s">
        <v>952</v>
      </c>
      <c r="B46" s="50" t="s">
        <v>990</v>
      </c>
      <c r="C46" s="50" t="s">
        <v>929</v>
      </c>
      <c r="D46" s="50" t="s">
        <v>1047</v>
      </c>
      <c r="E46" s="50" t="s">
        <v>955</v>
      </c>
      <c r="F46" s="51">
        <v>13</v>
      </c>
      <c r="G46" s="45">
        <v>1</v>
      </c>
      <c r="H46" s="50" t="s">
        <v>841</v>
      </c>
      <c r="I46" s="45">
        <v>1</v>
      </c>
      <c r="J46" s="52">
        <v>0.85</v>
      </c>
    </row>
    <row x14ac:dyDescent="0.25" r="47" customHeight="1" ht="18">
      <c r="A47" s="71" t="s">
        <v>952</v>
      </c>
      <c r="B47" s="50" t="s">
        <v>990</v>
      </c>
      <c r="C47" s="50" t="s">
        <v>932</v>
      </c>
      <c r="D47" s="50" t="s">
        <v>1048</v>
      </c>
      <c r="E47" s="50" t="s">
        <v>955</v>
      </c>
      <c r="F47" s="51">
        <v>72.7</v>
      </c>
      <c r="G47" s="45">
        <v>1</v>
      </c>
      <c r="H47" s="50" t="s">
        <v>841</v>
      </c>
      <c r="I47" s="45">
        <v>1</v>
      </c>
      <c r="J47" s="52">
        <v>0.85</v>
      </c>
    </row>
    <row x14ac:dyDescent="0.25" r="48" customHeight="1" ht="18">
      <c r="A48" s="71" t="s">
        <v>952</v>
      </c>
      <c r="B48" s="50" t="s">
        <v>990</v>
      </c>
      <c r="C48" s="50" t="s">
        <v>942</v>
      </c>
      <c r="D48" s="50" t="s">
        <v>1049</v>
      </c>
      <c r="E48" s="50" t="s">
        <v>955</v>
      </c>
      <c r="F48" s="51">
        <v>60</v>
      </c>
      <c r="G48" s="45">
        <v>1</v>
      </c>
      <c r="H48" s="50" t="s">
        <v>841</v>
      </c>
      <c r="I48" s="45">
        <v>1</v>
      </c>
      <c r="J48" s="52">
        <v>0.85</v>
      </c>
    </row>
    <row x14ac:dyDescent="0.25" r="49" customHeight="1" ht="18">
      <c r="A49" s="71" t="s">
        <v>952</v>
      </c>
      <c r="B49" s="50" t="s">
        <v>990</v>
      </c>
      <c r="C49" s="50" t="s">
        <v>942</v>
      </c>
      <c r="D49" s="50" t="s">
        <v>1050</v>
      </c>
      <c r="E49" s="50" t="s">
        <v>955</v>
      </c>
      <c r="F49" s="51">
        <v>1.7</v>
      </c>
      <c r="G49" s="45">
        <v>1</v>
      </c>
      <c r="H49" s="50" t="s">
        <v>841</v>
      </c>
      <c r="I49" s="45">
        <v>1</v>
      </c>
      <c r="J49" s="52">
        <v>0.85</v>
      </c>
    </row>
    <row x14ac:dyDescent="0.25" r="50" customHeight="1" ht="18">
      <c r="A50" s="71" t="s">
        <v>952</v>
      </c>
      <c r="B50" s="50" t="s">
        <v>990</v>
      </c>
      <c r="C50" s="50" t="s">
        <v>931</v>
      </c>
      <c r="D50" s="50" t="s">
        <v>1051</v>
      </c>
      <c r="E50" s="50" t="s">
        <v>955</v>
      </c>
      <c r="F50" s="51">
        <v>70</v>
      </c>
      <c r="G50" s="45">
        <v>1</v>
      </c>
      <c r="H50" s="50" t="s">
        <v>841</v>
      </c>
      <c r="I50" s="45">
        <v>1</v>
      </c>
      <c r="J50" s="52">
        <v>0.85</v>
      </c>
    </row>
    <row x14ac:dyDescent="0.25" r="51" customHeight="1" ht="18">
      <c r="A51" s="71" t="s">
        <v>952</v>
      </c>
      <c r="B51" s="50" t="s">
        <v>990</v>
      </c>
      <c r="C51" s="50" t="s">
        <v>931</v>
      </c>
      <c r="D51" s="50" t="s">
        <v>1052</v>
      </c>
      <c r="E51" s="50" t="s">
        <v>955</v>
      </c>
      <c r="F51" s="51">
        <v>52</v>
      </c>
      <c r="G51" s="45">
        <v>1</v>
      </c>
      <c r="H51" s="50" t="s">
        <v>841</v>
      </c>
      <c r="I51" s="45">
        <v>1</v>
      </c>
      <c r="J51" s="52">
        <v>0.85</v>
      </c>
    </row>
    <row x14ac:dyDescent="0.25" r="52" customHeight="1" ht="18">
      <c r="A52" s="71" t="s">
        <v>952</v>
      </c>
      <c r="B52" s="50" t="s">
        <v>990</v>
      </c>
      <c r="C52" s="50" t="s">
        <v>941</v>
      </c>
      <c r="D52" s="50" t="s">
        <v>941</v>
      </c>
      <c r="E52" s="50" t="s">
        <v>955</v>
      </c>
      <c r="F52" s="51">
        <v>63.3</v>
      </c>
      <c r="G52" s="45">
        <v>1</v>
      </c>
      <c r="H52" s="50" t="s">
        <v>841</v>
      </c>
      <c r="I52" s="45">
        <v>1</v>
      </c>
      <c r="J52" s="52">
        <v>0.85</v>
      </c>
    </row>
    <row x14ac:dyDescent="0.25" r="53" customHeight="1" ht="18">
      <c r="A53" s="71" t="s">
        <v>952</v>
      </c>
      <c r="B53" s="50" t="s">
        <v>990</v>
      </c>
      <c r="C53" s="50" t="s">
        <v>1032</v>
      </c>
      <c r="D53" s="50" t="s">
        <v>1049</v>
      </c>
      <c r="E53" s="50" t="s">
        <v>955</v>
      </c>
      <c r="F53" s="87">
        <v>60</v>
      </c>
      <c r="G53" s="45">
        <v>1</v>
      </c>
      <c r="H53" s="50" t="s">
        <v>841</v>
      </c>
      <c r="I53" s="45">
        <v>4</v>
      </c>
      <c r="J53" s="52">
        <v>0.85</v>
      </c>
    </row>
    <row x14ac:dyDescent="0.25" r="54" customHeight="1" ht="18">
      <c r="A54" s="71" t="s">
        <v>952</v>
      </c>
      <c r="B54" s="50" t="s">
        <v>990</v>
      </c>
      <c r="C54" s="50" t="s">
        <v>1032</v>
      </c>
      <c r="D54" s="50" t="s">
        <v>1050</v>
      </c>
      <c r="E54" s="50" t="s">
        <v>955</v>
      </c>
      <c r="F54" s="87">
        <v>3.4</v>
      </c>
      <c r="G54" s="45">
        <v>1</v>
      </c>
      <c r="H54" s="50" t="s">
        <v>841</v>
      </c>
      <c r="I54" s="45">
        <v>4</v>
      </c>
      <c r="J54" s="52">
        <v>0.85</v>
      </c>
    </row>
    <row x14ac:dyDescent="0.25" r="55" customHeight="1" ht="18">
      <c r="A55" s="71" t="s">
        <v>952</v>
      </c>
      <c r="B55" s="50" t="s">
        <v>990</v>
      </c>
      <c r="C55" s="50" t="s">
        <v>1032</v>
      </c>
      <c r="D55" s="50" t="s">
        <v>1053</v>
      </c>
      <c r="E55" s="50" t="s">
        <v>955</v>
      </c>
      <c r="F55" s="87">
        <v>1.7</v>
      </c>
      <c r="G55" s="45">
        <v>1</v>
      </c>
      <c r="H55" s="50" t="s">
        <v>841</v>
      </c>
      <c r="I55" s="45">
        <v>4</v>
      </c>
      <c r="J55" s="52">
        <v>0.85</v>
      </c>
    </row>
    <row x14ac:dyDescent="0.25" r="56" customHeight="1" ht="18">
      <c r="A56" s="71" t="s">
        <v>952</v>
      </c>
      <c r="B56" s="50" t="s">
        <v>990</v>
      </c>
      <c r="C56" s="50" t="s">
        <v>1033</v>
      </c>
      <c r="D56" s="50" t="s">
        <v>1049</v>
      </c>
      <c r="E56" s="50" t="s">
        <v>955</v>
      </c>
      <c r="F56" s="87">
        <v>60</v>
      </c>
      <c r="G56" s="45">
        <v>1</v>
      </c>
      <c r="H56" s="50" t="s">
        <v>841</v>
      </c>
      <c r="I56" s="45">
        <v>4</v>
      </c>
      <c r="J56" s="52">
        <v>0.85</v>
      </c>
    </row>
    <row x14ac:dyDescent="0.25" r="57" customHeight="1" ht="18">
      <c r="A57" s="71" t="s">
        <v>952</v>
      </c>
      <c r="B57" s="50" t="s">
        <v>990</v>
      </c>
      <c r="C57" s="50" t="s">
        <v>1033</v>
      </c>
      <c r="D57" s="50" t="s">
        <v>1050</v>
      </c>
      <c r="E57" s="50" t="s">
        <v>955</v>
      </c>
      <c r="F57" s="87">
        <v>1.7</v>
      </c>
      <c r="G57" s="45">
        <v>1</v>
      </c>
      <c r="H57" s="50" t="s">
        <v>841</v>
      </c>
      <c r="I57" s="45">
        <v>4</v>
      </c>
      <c r="J57" s="52">
        <v>0.85</v>
      </c>
    </row>
    <row x14ac:dyDescent="0.25" r="58" customHeight="1" ht="18">
      <c r="A58" s="71" t="s">
        <v>952</v>
      </c>
      <c r="B58" s="50" t="s">
        <v>990</v>
      </c>
      <c r="C58" s="50" t="s">
        <v>1033</v>
      </c>
      <c r="D58" s="50" t="s">
        <v>1053</v>
      </c>
      <c r="E58" s="50" t="s">
        <v>955</v>
      </c>
      <c r="F58" s="87">
        <v>0</v>
      </c>
      <c r="G58" s="45">
        <v>1</v>
      </c>
      <c r="H58" s="50" t="s">
        <v>841</v>
      </c>
      <c r="I58" s="45">
        <v>4</v>
      </c>
      <c r="J58" s="52">
        <v>0.85</v>
      </c>
    </row>
    <row x14ac:dyDescent="0.25" r="59" customHeight="1" ht="18">
      <c r="A59" s="50" t="s">
        <v>962</v>
      </c>
      <c r="B59" s="50" t="s">
        <v>990</v>
      </c>
      <c r="C59" s="50" t="s">
        <v>925</v>
      </c>
      <c r="D59" s="50" t="s">
        <v>1008</v>
      </c>
      <c r="E59" s="50" t="s">
        <v>955</v>
      </c>
      <c r="F59" s="51">
        <v>17.65</v>
      </c>
      <c r="G59" s="45">
        <v>1</v>
      </c>
      <c r="H59" s="50" t="s">
        <v>845</v>
      </c>
      <c r="I59" s="45">
        <v>1</v>
      </c>
      <c r="J59" s="52">
        <v>0.85</v>
      </c>
    </row>
    <row x14ac:dyDescent="0.25" r="60" customHeight="1" ht="18">
      <c r="A60" s="50" t="s">
        <v>962</v>
      </c>
      <c r="B60" s="50" t="s">
        <v>990</v>
      </c>
      <c r="C60" s="50" t="s">
        <v>926</v>
      </c>
      <c r="D60" s="50" t="s">
        <v>1010</v>
      </c>
      <c r="E60" s="50" t="s">
        <v>955</v>
      </c>
      <c r="F60" s="51">
        <v>17.65</v>
      </c>
      <c r="G60" s="45">
        <v>1</v>
      </c>
      <c r="H60" s="50" t="s">
        <v>845</v>
      </c>
      <c r="I60" s="45">
        <v>1</v>
      </c>
      <c r="J60" s="52">
        <v>0.85</v>
      </c>
    </row>
    <row x14ac:dyDescent="0.25" r="61" customHeight="1" ht="18">
      <c r="A61" s="50" t="s">
        <v>962</v>
      </c>
      <c r="B61" s="50" t="s">
        <v>990</v>
      </c>
      <c r="C61" s="50" t="s">
        <v>927</v>
      </c>
      <c r="D61" s="50" t="s">
        <v>927</v>
      </c>
      <c r="E61" s="50" t="s">
        <v>955</v>
      </c>
      <c r="F61" s="51">
        <v>27.73</v>
      </c>
      <c r="G61" s="45">
        <v>1</v>
      </c>
      <c r="H61" s="50" t="s">
        <v>849</v>
      </c>
      <c r="I61" s="45">
        <v>1</v>
      </c>
      <c r="J61" s="52">
        <v>0.85</v>
      </c>
    </row>
    <row x14ac:dyDescent="0.25" r="62" customHeight="1" ht="18">
      <c r="A62" s="50" t="s">
        <v>962</v>
      </c>
      <c r="B62" s="50" t="s">
        <v>990</v>
      </c>
      <c r="C62" s="50" t="s">
        <v>928</v>
      </c>
      <c r="D62" s="50" t="s">
        <v>1012</v>
      </c>
      <c r="E62" s="50" t="s">
        <v>955</v>
      </c>
      <c r="F62" s="51">
        <v>28.5</v>
      </c>
      <c r="G62" s="45">
        <v>1</v>
      </c>
      <c r="H62" s="50" t="s">
        <v>850</v>
      </c>
      <c r="I62" s="45">
        <v>1</v>
      </c>
      <c r="J62" s="52">
        <v>0.85</v>
      </c>
    </row>
    <row x14ac:dyDescent="0.25" r="63" customHeight="1" ht="18">
      <c r="A63" s="50" t="s">
        <v>962</v>
      </c>
      <c r="B63" s="50" t="s">
        <v>1002</v>
      </c>
      <c r="C63" s="50" t="s">
        <v>900</v>
      </c>
      <c r="D63" s="50" t="s">
        <v>968</v>
      </c>
      <c r="E63" s="50" t="s">
        <v>955</v>
      </c>
      <c r="F63" s="51">
        <v>28.4</v>
      </c>
      <c r="G63" s="45">
        <v>1</v>
      </c>
      <c r="H63" s="50" t="s">
        <v>871</v>
      </c>
      <c r="I63" s="45">
        <v>1</v>
      </c>
      <c r="J63" s="52">
        <v>0.77</v>
      </c>
    </row>
    <row x14ac:dyDescent="0.25" r="64" customHeight="1" ht="18">
      <c r="A64" s="50" t="s">
        <v>962</v>
      </c>
      <c r="B64" s="50" t="s">
        <v>1002</v>
      </c>
      <c r="C64" s="50" t="s">
        <v>900</v>
      </c>
      <c r="D64" s="50" t="s">
        <v>968</v>
      </c>
      <c r="E64" s="50" t="s">
        <v>1003</v>
      </c>
      <c r="F64" s="51">
        <v>34.2</v>
      </c>
      <c r="G64" s="45">
        <v>1</v>
      </c>
      <c r="H64" s="50" t="s">
        <v>871</v>
      </c>
      <c r="I64" s="45">
        <v>1</v>
      </c>
      <c r="J64" s="52">
        <v>0.77</v>
      </c>
    </row>
    <row x14ac:dyDescent="0.25" r="65" customHeight="1" ht="18">
      <c r="A65" s="50" t="s">
        <v>962</v>
      </c>
      <c r="B65" s="50" t="s">
        <v>1002</v>
      </c>
      <c r="C65" s="50" t="s">
        <v>901</v>
      </c>
      <c r="D65" s="50" t="s">
        <v>969</v>
      </c>
      <c r="E65" s="50" t="s">
        <v>955</v>
      </c>
      <c r="F65" s="51">
        <v>33.6</v>
      </c>
      <c r="G65" s="45">
        <v>1</v>
      </c>
      <c r="H65" s="50" t="s">
        <v>871</v>
      </c>
      <c r="I65" s="45">
        <v>1</v>
      </c>
      <c r="J65" s="52">
        <v>0.77</v>
      </c>
    </row>
    <row x14ac:dyDescent="0.25" r="66" customHeight="1" ht="18">
      <c r="A66" s="50" t="s">
        <v>962</v>
      </c>
      <c r="B66" s="50" t="s">
        <v>1002</v>
      </c>
      <c r="C66" s="50" t="s">
        <v>901</v>
      </c>
      <c r="D66" s="50" t="s">
        <v>969</v>
      </c>
      <c r="E66" s="50" t="s">
        <v>1003</v>
      </c>
      <c r="F66" s="51">
        <v>33.2</v>
      </c>
      <c r="G66" s="45">
        <v>1</v>
      </c>
      <c r="H66" s="50" t="s">
        <v>871</v>
      </c>
      <c r="I66" s="45">
        <v>1</v>
      </c>
      <c r="J66" s="52">
        <v>0.77</v>
      </c>
    </row>
    <row x14ac:dyDescent="0.25" r="67" customHeight="1" ht="18">
      <c r="A67" s="50" t="s">
        <v>962</v>
      </c>
      <c r="B67" s="50" t="s">
        <v>1002</v>
      </c>
      <c r="C67" s="50" t="s">
        <v>901</v>
      </c>
      <c r="D67" s="50" t="s">
        <v>1004</v>
      </c>
      <c r="E67" s="50" t="s">
        <v>955</v>
      </c>
      <c r="F67" s="51">
        <v>10.25</v>
      </c>
      <c r="G67" s="45">
        <v>1</v>
      </c>
      <c r="H67" s="50" t="s">
        <v>871</v>
      </c>
      <c r="I67" s="45">
        <v>1</v>
      </c>
      <c r="J67" s="52">
        <v>0.77</v>
      </c>
    </row>
    <row x14ac:dyDescent="0.25" r="68" customHeight="1" ht="18">
      <c r="A68" s="50" t="s">
        <v>962</v>
      </c>
      <c r="B68" s="50" t="s">
        <v>1002</v>
      </c>
      <c r="C68" s="50" t="s">
        <v>901</v>
      </c>
      <c r="D68" s="50" t="s">
        <v>1004</v>
      </c>
      <c r="E68" s="50" t="s">
        <v>1003</v>
      </c>
      <c r="F68" s="51">
        <v>10.9</v>
      </c>
      <c r="G68" s="45">
        <v>1</v>
      </c>
      <c r="H68" s="50" t="s">
        <v>871</v>
      </c>
      <c r="I68" s="45">
        <v>1</v>
      </c>
      <c r="J68" s="52">
        <v>0.77</v>
      </c>
    </row>
    <row x14ac:dyDescent="0.25" r="69" customHeight="1" ht="18">
      <c r="A69" s="50" t="s">
        <v>962</v>
      </c>
      <c r="B69" s="50" t="s">
        <v>1002</v>
      </c>
      <c r="C69" s="50" t="s">
        <v>902</v>
      </c>
      <c r="D69" s="50" t="s">
        <v>970</v>
      </c>
      <c r="E69" s="50" t="s">
        <v>955</v>
      </c>
      <c r="F69" s="51">
        <v>33.87</v>
      </c>
      <c r="G69" s="45">
        <v>1</v>
      </c>
      <c r="H69" s="50" t="s">
        <v>871</v>
      </c>
      <c r="I69" s="45">
        <v>1</v>
      </c>
      <c r="J69" s="52">
        <v>0.77</v>
      </c>
    </row>
    <row x14ac:dyDescent="0.25" r="70" customHeight="1" ht="18">
      <c r="A70" s="50" t="s">
        <v>962</v>
      </c>
      <c r="B70" s="50" t="s">
        <v>1002</v>
      </c>
      <c r="C70" s="50" t="s">
        <v>902</v>
      </c>
      <c r="D70" s="50" t="s">
        <v>970</v>
      </c>
      <c r="E70" s="50" t="s">
        <v>1003</v>
      </c>
      <c r="F70" s="51">
        <v>38.4</v>
      </c>
      <c r="G70" s="45">
        <v>1</v>
      </c>
      <c r="H70" s="50" t="s">
        <v>871</v>
      </c>
      <c r="I70" s="45">
        <v>1</v>
      </c>
      <c r="J70" s="52">
        <v>0.77</v>
      </c>
    </row>
    <row x14ac:dyDescent="0.25" r="71" customHeight="1" ht="18">
      <c r="A71" s="50" t="s">
        <v>962</v>
      </c>
      <c r="B71" s="50" t="s">
        <v>1002</v>
      </c>
      <c r="C71" s="50" t="s">
        <v>903</v>
      </c>
      <c r="D71" s="50" t="s">
        <v>971</v>
      </c>
      <c r="E71" s="50" t="s">
        <v>955</v>
      </c>
      <c r="F71" s="51">
        <v>33.87</v>
      </c>
      <c r="G71" s="45">
        <v>1</v>
      </c>
      <c r="H71" s="50" t="s">
        <v>871</v>
      </c>
      <c r="I71" s="45">
        <v>1</v>
      </c>
      <c r="J71" s="52">
        <v>0.77</v>
      </c>
    </row>
    <row x14ac:dyDescent="0.25" r="72" customHeight="1" ht="18">
      <c r="A72" s="50" t="s">
        <v>962</v>
      </c>
      <c r="B72" s="50" t="s">
        <v>1002</v>
      </c>
      <c r="C72" s="50" t="s">
        <v>903</v>
      </c>
      <c r="D72" s="50" t="s">
        <v>971</v>
      </c>
      <c r="E72" s="50" t="s">
        <v>1003</v>
      </c>
      <c r="F72" s="51">
        <v>38.4</v>
      </c>
      <c r="G72" s="45">
        <v>1</v>
      </c>
      <c r="H72" s="50" t="s">
        <v>871</v>
      </c>
      <c r="I72" s="45">
        <v>1</v>
      </c>
      <c r="J72" s="52">
        <v>0.77</v>
      </c>
    </row>
    <row x14ac:dyDescent="0.25" r="73" customHeight="1" ht="18">
      <c r="A73" s="50" t="s">
        <v>962</v>
      </c>
      <c r="B73" s="50" t="s">
        <v>1002</v>
      </c>
      <c r="C73" s="50" t="s">
        <v>904</v>
      </c>
      <c r="D73" s="50" t="s">
        <v>972</v>
      </c>
      <c r="E73" s="50" t="s">
        <v>955</v>
      </c>
      <c r="F73" s="51">
        <v>42.5</v>
      </c>
      <c r="G73" s="45">
        <v>1</v>
      </c>
      <c r="H73" s="50" t="s">
        <v>871</v>
      </c>
      <c r="I73" s="45">
        <v>1</v>
      </c>
      <c r="J73" s="52">
        <v>0.77</v>
      </c>
    </row>
    <row x14ac:dyDescent="0.25" r="74" customHeight="1" ht="18">
      <c r="A74" s="50" t="s">
        <v>962</v>
      </c>
      <c r="B74" s="50" t="s">
        <v>1002</v>
      </c>
      <c r="C74" s="50" t="s">
        <v>904</v>
      </c>
      <c r="D74" s="50" t="s">
        <v>972</v>
      </c>
      <c r="E74" s="50" t="s">
        <v>1003</v>
      </c>
      <c r="F74" s="51">
        <v>45.5</v>
      </c>
      <c r="G74" s="45">
        <v>1</v>
      </c>
      <c r="H74" s="50" t="s">
        <v>871</v>
      </c>
      <c r="I74" s="45">
        <v>1</v>
      </c>
      <c r="J74" s="52">
        <v>0.77</v>
      </c>
    </row>
    <row x14ac:dyDescent="0.25" r="75" customHeight="1" ht="18">
      <c r="A75" s="50" t="s">
        <v>962</v>
      </c>
      <c r="B75" s="50" t="s">
        <v>1002</v>
      </c>
      <c r="C75" s="50" t="s">
        <v>904</v>
      </c>
      <c r="D75" s="50" t="s">
        <v>1005</v>
      </c>
      <c r="E75" s="50" t="s">
        <v>955</v>
      </c>
      <c r="F75" s="51">
        <v>10.25</v>
      </c>
      <c r="G75" s="45">
        <v>1</v>
      </c>
      <c r="H75" s="50" t="s">
        <v>871</v>
      </c>
      <c r="I75" s="45">
        <v>1</v>
      </c>
      <c r="J75" s="52">
        <v>0.77</v>
      </c>
    </row>
    <row x14ac:dyDescent="0.25" r="76" customHeight="1" ht="18">
      <c r="A76" s="50" t="s">
        <v>962</v>
      </c>
      <c r="B76" s="50" t="s">
        <v>1002</v>
      </c>
      <c r="C76" s="50" t="s">
        <v>904</v>
      </c>
      <c r="D76" s="50" t="s">
        <v>1005</v>
      </c>
      <c r="E76" s="50" t="s">
        <v>1003</v>
      </c>
      <c r="F76" s="51">
        <v>10.9</v>
      </c>
      <c r="G76" s="45">
        <v>1</v>
      </c>
      <c r="H76" s="50" t="s">
        <v>871</v>
      </c>
      <c r="I76" s="45">
        <v>1</v>
      </c>
      <c r="J76" s="52">
        <v>0.77</v>
      </c>
    </row>
    <row x14ac:dyDescent="0.25" r="77" customHeight="1" ht="18">
      <c r="A77" s="50" t="s">
        <v>962</v>
      </c>
      <c r="B77" s="50" t="s">
        <v>1002</v>
      </c>
      <c r="C77" s="50" t="s">
        <v>905</v>
      </c>
      <c r="D77" s="50" t="s">
        <v>973</v>
      </c>
      <c r="E77" s="50" t="s">
        <v>955</v>
      </c>
      <c r="F77" s="51">
        <v>42.5</v>
      </c>
      <c r="G77" s="45">
        <v>1</v>
      </c>
      <c r="H77" s="50" t="s">
        <v>871</v>
      </c>
      <c r="I77" s="45">
        <v>1</v>
      </c>
      <c r="J77" s="52">
        <v>0.77</v>
      </c>
    </row>
    <row x14ac:dyDescent="0.25" r="78" customHeight="1" ht="18">
      <c r="A78" s="50" t="s">
        <v>962</v>
      </c>
      <c r="B78" s="50" t="s">
        <v>1002</v>
      </c>
      <c r="C78" s="50" t="s">
        <v>905</v>
      </c>
      <c r="D78" s="50" t="s">
        <v>973</v>
      </c>
      <c r="E78" s="50" t="s">
        <v>1003</v>
      </c>
      <c r="F78" s="51">
        <v>45.5</v>
      </c>
      <c r="G78" s="45">
        <v>1</v>
      </c>
      <c r="H78" s="50" t="s">
        <v>871</v>
      </c>
      <c r="I78" s="45">
        <v>1</v>
      </c>
      <c r="J78" s="52">
        <v>0.77</v>
      </c>
    </row>
    <row x14ac:dyDescent="0.25" r="79" customHeight="1" ht="18">
      <c r="A79" s="50" t="s">
        <v>962</v>
      </c>
      <c r="B79" s="50" t="s">
        <v>1002</v>
      </c>
      <c r="C79" s="50" t="s">
        <v>906</v>
      </c>
      <c r="D79" s="50" t="s">
        <v>974</v>
      </c>
      <c r="E79" s="50" t="s">
        <v>955</v>
      </c>
      <c r="F79" s="51">
        <v>47.8</v>
      </c>
      <c r="G79" s="45">
        <v>1</v>
      </c>
      <c r="H79" s="50" t="s">
        <v>871</v>
      </c>
      <c r="I79" s="45">
        <v>1</v>
      </c>
      <c r="J79" s="52">
        <v>0.77</v>
      </c>
    </row>
    <row x14ac:dyDescent="0.25" r="80" customHeight="1" ht="18">
      <c r="A80" s="50" t="s">
        <v>962</v>
      </c>
      <c r="B80" s="50" t="s">
        <v>1002</v>
      </c>
      <c r="C80" s="50" t="s">
        <v>906</v>
      </c>
      <c r="D80" s="50" t="s">
        <v>974</v>
      </c>
      <c r="E80" s="50" t="s">
        <v>1003</v>
      </c>
      <c r="F80" s="51">
        <v>32.8</v>
      </c>
      <c r="G80" s="45">
        <v>1</v>
      </c>
      <c r="H80" s="50" t="s">
        <v>871</v>
      </c>
      <c r="I80" s="45">
        <v>1</v>
      </c>
      <c r="J80" s="52">
        <v>0.77</v>
      </c>
    </row>
    <row x14ac:dyDescent="0.25" r="81" customHeight="1" ht="18">
      <c r="A81" s="50" t="s">
        <v>962</v>
      </c>
      <c r="B81" s="50" t="s">
        <v>1002</v>
      </c>
      <c r="C81" s="50" t="s">
        <v>907</v>
      </c>
      <c r="D81" s="50" t="s">
        <v>907</v>
      </c>
      <c r="E81" s="50" t="s">
        <v>955</v>
      </c>
      <c r="F81" s="51">
        <v>42.5</v>
      </c>
      <c r="G81" s="45">
        <v>1</v>
      </c>
      <c r="H81" s="50" t="s">
        <v>871</v>
      </c>
      <c r="I81" s="45">
        <v>1</v>
      </c>
      <c r="J81" s="52">
        <v>0.77</v>
      </c>
    </row>
    <row x14ac:dyDescent="0.25" r="82" customHeight="1" ht="18">
      <c r="A82" s="50" t="s">
        <v>962</v>
      </c>
      <c r="B82" s="50" t="s">
        <v>1002</v>
      </c>
      <c r="C82" s="50" t="s">
        <v>907</v>
      </c>
      <c r="D82" s="50" t="s">
        <v>907</v>
      </c>
      <c r="E82" s="50" t="s">
        <v>1003</v>
      </c>
      <c r="F82" s="51">
        <v>42.5</v>
      </c>
      <c r="G82" s="45">
        <v>1</v>
      </c>
      <c r="H82" s="50" t="s">
        <v>871</v>
      </c>
      <c r="I82" s="45">
        <v>1</v>
      </c>
      <c r="J82" s="52">
        <v>0.77</v>
      </c>
    </row>
    <row x14ac:dyDescent="0.25" r="83" customHeight="1" ht="18">
      <c r="A83" s="50" t="s">
        <v>962</v>
      </c>
      <c r="B83" s="50" t="s">
        <v>1002</v>
      </c>
      <c r="C83" s="50" t="s">
        <v>908</v>
      </c>
      <c r="D83" s="50" t="s">
        <v>975</v>
      </c>
      <c r="E83" s="50" t="s">
        <v>955</v>
      </c>
      <c r="F83" s="51">
        <v>33.6</v>
      </c>
      <c r="G83" s="45">
        <v>1</v>
      </c>
      <c r="H83" s="50" t="s">
        <v>871</v>
      </c>
      <c r="I83" s="45">
        <v>1</v>
      </c>
      <c r="J83" s="52">
        <v>0.77</v>
      </c>
    </row>
    <row x14ac:dyDescent="0.25" r="84" customHeight="1" ht="18">
      <c r="A84" s="50" t="s">
        <v>962</v>
      </c>
      <c r="B84" s="50" t="s">
        <v>1002</v>
      </c>
      <c r="C84" s="50" t="s">
        <v>908</v>
      </c>
      <c r="D84" s="50" t="s">
        <v>975</v>
      </c>
      <c r="E84" s="50" t="s">
        <v>1003</v>
      </c>
      <c r="F84" s="51">
        <v>33.2</v>
      </c>
      <c r="G84" s="45">
        <v>1</v>
      </c>
      <c r="H84" s="50" t="s">
        <v>871</v>
      </c>
      <c r="I84" s="45">
        <v>1</v>
      </c>
      <c r="J84" s="52">
        <v>0.77</v>
      </c>
    </row>
    <row x14ac:dyDescent="0.25" r="85" customHeight="1" ht="18">
      <c r="A85" s="50" t="s">
        <v>962</v>
      </c>
      <c r="B85" s="50" t="s">
        <v>1002</v>
      </c>
      <c r="C85" s="50" t="s">
        <v>924</v>
      </c>
      <c r="D85" s="50" t="s">
        <v>1054</v>
      </c>
      <c r="E85" s="50" t="s">
        <v>955</v>
      </c>
      <c r="F85" s="59">
        <v>23.68</v>
      </c>
      <c r="G85" s="45">
        <v>1</v>
      </c>
      <c r="H85" s="50" t="s">
        <v>1055</v>
      </c>
      <c r="I85" s="45">
        <v>4</v>
      </c>
      <c r="J85" s="52">
        <v>0.85</v>
      </c>
    </row>
    <row x14ac:dyDescent="0.25" r="86" customHeight="1" ht="18">
      <c r="A86" s="50" t="s">
        <v>962</v>
      </c>
      <c r="B86" s="50" t="s">
        <v>1002</v>
      </c>
      <c r="C86" s="50" t="s">
        <v>924</v>
      </c>
      <c r="D86" s="50" t="s">
        <v>1056</v>
      </c>
      <c r="E86" s="50" t="s">
        <v>1003</v>
      </c>
      <c r="F86" s="59">
        <v>23.68</v>
      </c>
      <c r="G86" s="45">
        <v>1</v>
      </c>
      <c r="H86" s="50" t="s">
        <v>1055</v>
      </c>
      <c r="I86" s="45">
        <v>4</v>
      </c>
      <c r="J86" s="52">
        <v>0.85</v>
      </c>
    </row>
    <row x14ac:dyDescent="0.25" r="87" customHeight="1" ht="18">
      <c r="A87" s="50" t="s">
        <v>962</v>
      </c>
      <c r="B87" s="50" t="s">
        <v>1002</v>
      </c>
      <c r="C87" s="50" t="s">
        <v>925</v>
      </c>
      <c r="D87" s="50" t="s">
        <v>1057</v>
      </c>
      <c r="E87" s="50" t="s">
        <v>955</v>
      </c>
      <c r="F87" s="59">
        <v>23.3</v>
      </c>
      <c r="G87" s="45">
        <v>1</v>
      </c>
      <c r="H87" s="50" t="s">
        <v>1055</v>
      </c>
      <c r="I87" s="45">
        <v>4</v>
      </c>
      <c r="J87" s="52">
        <v>0.85</v>
      </c>
    </row>
    <row x14ac:dyDescent="0.25" r="88" customHeight="1" ht="18">
      <c r="A88" s="50" t="s">
        <v>962</v>
      </c>
      <c r="B88" s="50" t="s">
        <v>1002</v>
      </c>
      <c r="C88" s="50" t="s">
        <v>925</v>
      </c>
      <c r="D88" s="50" t="s">
        <v>1058</v>
      </c>
      <c r="E88" s="50" t="s">
        <v>1003</v>
      </c>
      <c r="F88" s="59">
        <v>23.3</v>
      </c>
      <c r="G88" s="45">
        <v>1</v>
      </c>
      <c r="H88" s="50" t="s">
        <v>1055</v>
      </c>
      <c r="I88" s="45">
        <v>4</v>
      </c>
      <c r="J88" s="52">
        <v>0.85</v>
      </c>
    </row>
    <row x14ac:dyDescent="0.25" r="89" customHeight="1" ht="18">
      <c r="A89" s="50" t="s">
        <v>962</v>
      </c>
      <c r="B89" s="50" t="s">
        <v>1002</v>
      </c>
      <c r="C89" s="50" t="s">
        <v>926</v>
      </c>
      <c r="D89" s="50" t="s">
        <v>1059</v>
      </c>
      <c r="E89" s="50" t="s">
        <v>955</v>
      </c>
      <c r="F89" s="59">
        <v>24.02</v>
      </c>
      <c r="G89" s="45">
        <v>1</v>
      </c>
      <c r="H89" s="50" t="s">
        <v>1055</v>
      </c>
      <c r="I89" s="45">
        <v>4</v>
      </c>
      <c r="J89" s="52">
        <v>0.85</v>
      </c>
    </row>
    <row x14ac:dyDescent="0.25" r="90" customHeight="1" ht="18">
      <c r="A90" s="50" t="s">
        <v>962</v>
      </c>
      <c r="B90" s="50" t="s">
        <v>1002</v>
      </c>
      <c r="C90" s="50" t="s">
        <v>926</v>
      </c>
      <c r="D90" s="50" t="s">
        <v>1060</v>
      </c>
      <c r="E90" s="50" t="s">
        <v>1003</v>
      </c>
      <c r="F90" s="59">
        <v>24.02</v>
      </c>
      <c r="G90" s="45">
        <v>1</v>
      </c>
      <c r="H90" s="50" t="s">
        <v>1055</v>
      </c>
      <c r="I90" s="45">
        <v>4</v>
      </c>
      <c r="J90" s="52">
        <v>0.85</v>
      </c>
    </row>
    <row x14ac:dyDescent="0.25" r="91" customHeight="1" ht="18">
      <c r="A91" s="50" t="s">
        <v>962</v>
      </c>
      <c r="B91" s="50" t="s">
        <v>1002</v>
      </c>
      <c r="C91" s="50" t="s">
        <v>916</v>
      </c>
      <c r="D91" s="50" t="s">
        <v>992</v>
      </c>
      <c r="E91" s="50" t="s">
        <v>955</v>
      </c>
      <c r="F91" s="51">
        <v>20.2</v>
      </c>
      <c r="G91" s="45">
        <v>1</v>
      </c>
      <c r="H91" s="50" t="s">
        <v>875</v>
      </c>
      <c r="I91" s="45">
        <v>1</v>
      </c>
      <c r="J91" s="52">
        <v>0.85</v>
      </c>
    </row>
    <row x14ac:dyDescent="0.25" r="92" customHeight="1" ht="18">
      <c r="A92" s="50" t="s">
        <v>962</v>
      </c>
      <c r="B92" s="50" t="s">
        <v>1002</v>
      </c>
      <c r="C92" s="50" t="s">
        <v>916</v>
      </c>
      <c r="D92" s="50" t="s">
        <v>992</v>
      </c>
      <c r="E92" s="50" t="s">
        <v>1003</v>
      </c>
      <c r="F92" s="51">
        <v>20.2</v>
      </c>
      <c r="G92" s="45">
        <v>1</v>
      </c>
      <c r="H92" s="50" t="s">
        <v>875</v>
      </c>
      <c r="I92" s="45">
        <v>1</v>
      </c>
      <c r="J92" s="52">
        <v>0.85</v>
      </c>
    </row>
    <row x14ac:dyDescent="0.25" r="93" customHeight="1" ht="18">
      <c r="A93" s="50" t="s">
        <v>962</v>
      </c>
      <c r="B93" s="50" t="s">
        <v>1002</v>
      </c>
      <c r="C93" s="50" t="s">
        <v>917</v>
      </c>
      <c r="D93" s="50" t="s">
        <v>993</v>
      </c>
      <c r="E93" s="50" t="s">
        <v>955</v>
      </c>
      <c r="F93" s="51">
        <v>20.2</v>
      </c>
      <c r="G93" s="45">
        <v>1</v>
      </c>
      <c r="H93" s="50" t="s">
        <v>875</v>
      </c>
      <c r="I93" s="45">
        <v>1</v>
      </c>
      <c r="J93" s="52">
        <v>0.85</v>
      </c>
    </row>
    <row x14ac:dyDescent="0.25" r="94" customHeight="1" ht="18">
      <c r="A94" s="50" t="s">
        <v>962</v>
      </c>
      <c r="B94" s="50" t="s">
        <v>1002</v>
      </c>
      <c r="C94" s="50" t="s">
        <v>917</v>
      </c>
      <c r="D94" s="50" t="s">
        <v>1013</v>
      </c>
      <c r="E94" s="50" t="s">
        <v>1003</v>
      </c>
      <c r="F94" s="51">
        <v>20.2</v>
      </c>
      <c r="G94" s="45">
        <v>1</v>
      </c>
      <c r="H94" s="50" t="s">
        <v>875</v>
      </c>
      <c r="I94" s="45">
        <v>1</v>
      </c>
      <c r="J94" s="52">
        <v>0.85</v>
      </c>
    </row>
    <row x14ac:dyDescent="0.25" r="95" customHeight="1" ht="18">
      <c r="A95" s="50" t="s">
        <v>962</v>
      </c>
      <c r="B95" s="50" t="s">
        <v>1002</v>
      </c>
      <c r="C95" s="50" t="s">
        <v>910</v>
      </c>
      <c r="D95" s="50" t="s">
        <v>964</v>
      </c>
      <c r="E95" s="50" t="s">
        <v>955</v>
      </c>
      <c r="F95" s="51">
        <v>19.3</v>
      </c>
      <c r="G95" s="45">
        <v>1</v>
      </c>
      <c r="H95" s="50" t="s">
        <v>1061</v>
      </c>
      <c r="I95" s="45">
        <v>1</v>
      </c>
      <c r="J95" s="52">
        <v>0.85</v>
      </c>
    </row>
    <row x14ac:dyDescent="0.25" r="96" customHeight="1" ht="18">
      <c r="A96" s="50" t="s">
        <v>962</v>
      </c>
      <c r="B96" s="50" t="s">
        <v>1002</v>
      </c>
      <c r="C96" s="50" t="s">
        <v>910</v>
      </c>
      <c r="D96" s="50" t="s">
        <v>964</v>
      </c>
      <c r="E96" s="50" t="s">
        <v>1003</v>
      </c>
      <c r="F96" s="51">
        <v>19.2</v>
      </c>
      <c r="G96" s="45">
        <v>1</v>
      </c>
      <c r="H96" s="50" t="s">
        <v>1061</v>
      </c>
      <c r="I96" s="45">
        <v>1</v>
      </c>
      <c r="J96" s="52">
        <v>0.85</v>
      </c>
    </row>
    <row x14ac:dyDescent="0.25" r="97" customHeight="1" ht="18">
      <c r="A97" s="50" t="s">
        <v>962</v>
      </c>
      <c r="B97" s="50" t="s">
        <v>1002</v>
      </c>
      <c r="C97" s="50" t="s">
        <v>912</v>
      </c>
      <c r="D97" s="50" t="s">
        <v>912</v>
      </c>
      <c r="E97" s="50" t="s">
        <v>955</v>
      </c>
      <c r="F97" s="51">
        <v>10.9</v>
      </c>
      <c r="G97" s="45">
        <v>1</v>
      </c>
      <c r="H97" s="50" t="s">
        <v>1061</v>
      </c>
      <c r="I97" s="45">
        <v>1</v>
      </c>
      <c r="J97" s="52">
        <v>0.85</v>
      </c>
    </row>
    <row x14ac:dyDescent="0.25" r="98" customHeight="1" ht="18">
      <c r="A98" s="50" t="s">
        <v>962</v>
      </c>
      <c r="B98" s="50" t="s">
        <v>1002</v>
      </c>
      <c r="C98" s="50" t="s">
        <v>914</v>
      </c>
      <c r="D98" s="50" t="s">
        <v>914</v>
      </c>
      <c r="E98" s="50" t="s">
        <v>955</v>
      </c>
      <c r="F98" s="51">
        <v>10.9</v>
      </c>
      <c r="G98" s="45">
        <v>1</v>
      </c>
      <c r="H98" s="50" t="s">
        <v>1061</v>
      </c>
      <c r="I98" s="45">
        <v>1</v>
      </c>
      <c r="J98" s="52">
        <v>0.85</v>
      </c>
    </row>
    <row x14ac:dyDescent="0.25" r="99" customHeight="1" ht="18">
      <c r="A99" s="50" t="s">
        <v>962</v>
      </c>
      <c r="B99" s="50" t="s">
        <v>1002</v>
      </c>
      <c r="C99" s="50" t="s">
        <v>913</v>
      </c>
      <c r="D99" s="50" t="s">
        <v>913</v>
      </c>
      <c r="E99" s="50" t="s">
        <v>955</v>
      </c>
      <c r="F99" s="51">
        <v>10.9</v>
      </c>
      <c r="G99" s="45">
        <v>1</v>
      </c>
      <c r="H99" s="50" t="s">
        <v>1061</v>
      </c>
      <c r="I99" s="45">
        <v>1</v>
      </c>
      <c r="J99" s="52">
        <v>0.85</v>
      </c>
    </row>
    <row x14ac:dyDescent="0.25" r="100" customHeight="1" ht="18">
      <c r="A100" s="50" t="s">
        <v>962</v>
      </c>
      <c r="B100" s="50" t="s">
        <v>1002</v>
      </c>
      <c r="C100" s="50" t="s">
        <v>911</v>
      </c>
      <c r="D100" s="50" t="s">
        <v>911</v>
      </c>
      <c r="E100" s="50" t="s">
        <v>955</v>
      </c>
      <c r="F100" s="51">
        <v>10.9</v>
      </c>
      <c r="G100" s="45">
        <v>1</v>
      </c>
      <c r="H100" s="50" t="s">
        <v>1061</v>
      </c>
      <c r="I100" s="45">
        <v>1</v>
      </c>
      <c r="J100" s="52">
        <v>0.85</v>
      </c>
    </row>
    <row x14ac:dyDescent="0.25" r="101" customHeight="1" ht="18">
      <c r="A101" s="50" t="s">
        <v>962</v>
      </c>
      <c r="B101" s="50" t="s">
        <v>1002</v>
      </c>
      <c r="C101" s="50" t="s">
        <v>919</v>
      </c>
      <c r="D101" s="50" t="s">
        <v>965</v>
      </c>
      <c r="E101" s="50" t="s">
        <v>955</v>
      </c>
      <c r="F101" s="59">
        <v>20</v>
      </c>
      <c r="G101" s="45">
        <v>1</v>
      </c>
      <c r="H101" s="50" t="s">
        <v>1014</v>
      </c>
      <c r="I101" s="45">
        <v>2</v>
      </c>
      <c r="J101" s="52">
        <v>0.85</v>
      </c>
    </row>
    <row x14ac:dyDescent="0.25" r="102" customHeight="1" ht="18">
      <c r="A102" s="50" t="s">
        <v>962</v>
      </c>
      <c r="B102" s="50" t="s">
        <v>1002</v>
      </c>
      <c r="C102" s="50" t="s">
        <v>919</v>
      </c>
      <c r="D102" s="50" t="s">
        <v>965</v>
      </c>
      <c r="E102" s="50" t="s">
        <v>1003</v>
      </c>
      <c r="F102" s="59">
        <v>20</v>
      </c>
      <c r="G102" s="45">
        <v>1</v>
      </c>
      <c r="H102" s="50" t="s">
        <v>1014</v>
      </c>
      <c r="I102" s="45">
        <v>2</v>
      </c>
      <c r="J102" s="52">
        <v>0.85</v>
      </c>
    </row>
    <row x14ac:dyDescent="0.25" r="103" customHeight="1" ht="18">
      <c r="A103" s="50" t="s">
        <v>962</v>
      </c>
      <c r="B103" s="50" t="s">
        <v>1002</v>
      </c>
      <c r="C103" s="86" t="s">
        <v>920</v>
      </c>
      <c r="D103" s="86" t="s">
        <v>920</v>
      </c>
      <c r="E103" s="50" t="s">
        <v>955</v>
      </c>
      <c r="F103" s="59">
        <v>25.44</v>
      </c>
      <c r="G103" s="45">
        <v>1</v>
      </c>
      <c r="H103" s="50" t="s">
        <v>1062</v>
      </c>
      <c r="I103" s="45">
        <v>2</v>
      </c>
      <c r="J103" s="52">
        <v>0.85</v>
      </c>
    </row>
    <row x14ac:dyDescent="0.25" r="104" customHeight="1" ht="18">
      <c r="A104" s="50" t="s">
        <v>962</v>
      </c>
      <c r="B104" s="50" t="s">
        <v>1002</v>
      </c>
      <c r="C104" s="86" t="s">
        <v>920</v>
      </c>
      <c r="D104" s="86" t="s">
        <v>920</v>
      </c>
      <c r="E104" s="50" t="s">
        <v>1003</v>
      </c>
      <c r="F104" s="59">
        <v>22.22</v>
      </c>
      <c r="G104" s="45">
        <v>1</v>
      </c>
      <c r="H104" s="50" t="s">
        <v>1062</v>
      </c>
      <c r="I104" s="45">
        <v>2</v>
      </c>
      <c r="J104" s="52">
        <v>0.85</v>
      </c>
    </row>
    <row x14ac:dyDescent="0.25" r="105" customHeight="1" ht="18">
      <c r="A105" s="50" t="s">
        <v>952</v>
      </c>
      <c r="B105" s="50" t="s">
        <v>1002</v>
      </c>
      <c r="C105" s="50" t="s">
        <v>921</v>
      </c>
      <c r="D105" s="50" t="s">
        <v>954</v>
      </c>
      <c r="E105" s="50" t="s">
        <v>955</v>
      </c>
      <c r="F105" s="88">
        <v>27.13215882580316</v>
      </c>
      <c r="G105" s="45">
        <v>1</v>
      </c>
      <c r="H105" s="50" t="s">
        <v>1063</v>
      </c>
      <c r="I105" s="45">
        <v>3</v>
      </c>
      <c r="J105" s="52">
        <v>0.85</v>
      </c>
    </row>
    <row x14ac:dyDescent="0.25" r="106" customHeight="1" ht="18">
      <c r="A106" s="50" t="s">
        <v>952</v>
      </c>
      <c r="B106" s="50" t="s">
        <v>1002</v>
      </c>
      <c r="C106" s="50" t="s">
        <v>921</v>
      </c>
      <c r="D106" s="50" t="s">
        <v>954</v>
      </c>
      <c r="E106" s="50" t="s">
        <v>1003</v>
      </c>
      <c r="F106" s="88">
        <v>27.13215882580316</v>
      </c>
      <c r="G106" s="45">
        <v>1</v>
      </c>
      <c r="H106" s="50" t="s">
        <v>1063</v>
      </c>
      <c r="I106" s="45">
        <v>3</v>
      </c>
      <c r="J106" s="52">
        <v>0.85</v>
      </c>
    </row>
    <row x14ac:dyDescent="0.25" r="107" customHeight="1" ht="18">
      <c r="A107" s="50" t="s">
        <v>952</v>
      </c>
      <c r="B107" s="50" t="s">
        <v>1002</v>
      </c>
      <c r="C107" s="50" t="s">
        <v>921</v>
      </c>
      <c r="D107" s="50" t="s">
        <v>977</v>
      </c>
      <c r="E107" s="50" t="s">
        <v>955</v>
      </c>
      <c r="F107" s="88">
        <v>22.91160078623378</v>
      </c>
      <c r="G107" s="45">
        <v>1</v>
      </c>
      <c r="H107" s="50" t="s">
        <v>1063</v>
      </c>
      <c r="I107" s="45">
        <v>3</v>
      </c>
      <c r="J107" s="52">
        <v>0.85</v>
      </c>
    </row>
    <row x14ac:dyDescent="0.25" r="108" customHeight="1" ht="18">
      <c r="A108" s="50" t="s">
        <v>952</v>
      </c>
      <c r="B108" s="50" t="s">
        <v>1002</v>
      </c>
      <c r="C108" s="50" t="s">
        <v>921</v>
      </c>
      <c r="D108" s="50" t="s">
        <v>977</v>
      </c>
      <c r="E108" s="50" t="s">
        <v>1003</v>
      </c>
      <c r="F108" s="88">
        <v>22.91160078623378</v>
      </c>
      <c r="G108" s="45">
        <v>1</v>
      </c>
      <c r="H108" s="50" t="s">
        <v>1063</v>
      </c>
      <c r="I108" s="45">
        <v>3</v>
      </c>
      <c r="J108" s="52">
        <v>0.85</v>
      </c>
    </row>
    <row x14ac:dyDescent="0.25" r="109" customHeight="1" ht="18">
      <c r="A109" s="50" t="s">
        <v>952</v>
      </c>
      <c r="B109" s="50" t="s">
        <v>1002</v>
      </c>
      <c r="C109" s="50" t="s">
        <v>921</v>
      </c>
      <c r="D109" s="50" t="s">
        <v>978</v>
      </c>
      <c r="E109" s="50" t="s">
        <v>955</v>
      </c>
      <c r="F109" s="88">
        <v>2.664980933556666</v>
      </c>
      <c r="G109" s="45">
        <v>1</v>
      </c>
      <c r="H109" s="50" t="s">
        <v>1063</v>
      </c>
      <c r="I109" s="45">
        <v>3</v>
      </c>
      <c r="J109" s="52">
        <v>0.85</v>
      </c>
    </row>
    <row x14ac:dyDescent="0.25" r="110" customHeight="1" ht="18">
      <c r="A110" s="50" t="s">
        <v>952</v>
      </c>
      <c r="B110" s="50" t="s">
        <v>1002</v>
      </c>
      <c r="C110" s="50" t="s">
        <v>921</v>
      </c>
      <c r="D110" s="50" t="s">
        <v>979</v>
      </c>
      <c r="E110" s="50" t="s">
        <v>955</v>
      </c>
      <c r="F110" s="88">
        <v>2.242925129599727</v>
      </c>
      <c r="G110" s="45">
        <v>1</v>
      </c>
      <c r="H110" s="50" t="s">
        <v>1063</v>
      </c>
      <c r="I110" s="45">
        <v>3</v>
      </c>
      <c r="J110" s="52">
        <v>0.85</v>
      </c>
    </row>
    <row x14ac:dyDescent="0.25" r="111" customHeight="1" ht="18">
      <c r="A111" s="50" t="s">
        <v>952</v>
      </c>
      <c r="B111" s="50" t="s">
        <v>1002</v>
      </c>
      <c r="C111" s="50" t="s">
        <v>921</v>
      </c>
      <c r="D111" s="50" t="s">
        <v>980</v>
      </c>
      <c r="E111" s="50" t="s">
        <v>955</v>
      </c>
      <c r="F111" s="88">
        <v>2.291160078623378</v>
      </c>
      <c r="G111" s="45">
        <v>1</v>
      </c>
      <c r="H111" s="50" t="s">
        <v>1063</v>
      </c>
      <c r="I111" s="45">
        <v>3</v>
      </c>
      <c r="J111" s="52">
        <v>0.85</v>
      </c>
    </row>
    <row x14ac:dyDescent="0.25" r="112" customHeight="1" ht="18">
      <c r="A112" s="50" t="s">
        <v>952</v>
      </c>
      <c r="B112" s="50" t="s">
        <v>1002</v>
      </c>
      <c r="C112" s="50" t="s">
        <v>922</v>
      </c>
      <c r="D112" s="50" t="s">
        <v>957</v>
      </c>
      <c r="E112" s="50" t="s">
        <v>955</v>
      </c>
      <c r="F112" s="88">
        <v>27.13215882580316</v>
      </c>
      <c r="G112" s="45">
        <v>1</v>
      </c>
      <c r="H112" s="50" t="s">
        <v>1063</v>
      </c>
      <c r="I112" s="45">
        <v>3</v>
      </c>
      <c r="J112" s="52">
        <v>0.85</v>
      </c>
    </row>
    <row x14ac:dyDescent="0.25" r="113" customHeight="1" ht="18">
      <c r="A113" s="50" t="s">
        <v>952</v>
      </c>
      <c r="B113" s="50" t="s">
        <v>1002</v>
      </c>
      <c r="C113" s="50" t="s">
        <v>922</v>
      </c>
      <c r="D113" s="50" t="s">
        <v>957</v>
      </c>
      <c r="E113" s="50" t="s">
        <v>1003</v>
      </c>
      <c r="F113" s="88">
        <v>27.13215882580316</v>
      </c>
      <c r="G113" s="45">
        <v>1</v>
      </c>
      <c r="H113" s="50" t="s">
        <v>1063</v>
      </c>
      <c r="I113" s="45">
        <v>3</v>
      </c>
      <c r="J113" s="52">
        <v>0.85</v>
      </c>
    </row>
    <row x14ac:dyDescent="0.25" r="114" customHeight="1" ht="18">
      <c r="A114" s="50" t="s">
        <v>952</v>
      </c>
      <c r="B114" s="50" t="s">
        <v>1002</v>
      </c>
      <c r="C114" s="50" t="s">
        <v>922</v>
      </c>
      <c r="D114" s="50" t="s">
        <v>981</v>
      </c>
      <c r="E114" s="50" t="s">
        <v>955</v>
      </c>
      <c r="F114" s="88">
        <v>22.91160078623378</v>
      </c>
      <c r="G114" s="45">
        <v>1</v>
      </c>
      <c r="H114" s="50" t="s">
        <v>1063</v>
      </c>
      <c r="I114" s="45">
        <v>3</v>
      </c>
      <c r="J114" s="52">
        <v>0.85</v>
      </c>
    </row>
    <row x14ac:dyDescent="0.25" r="115" customHeight="1" ht="18">
      <c r="A115" s="50" t="s">
        <v>952</v>
      </c>
      <c r="B115" s="50" t="s">
        <v>1002</v>
      </c>
      <c r="C115" s="50" t="s">
        <v>922</v>
      </c>
      <c r="D115" s="50" t="s">
        <v>981</v>
      </c>
      <c r="E115" s="50" t="s">
        <v>1003</v>
      </c>
      <c r="F115" s="88">
        <v>22.91160078623378</v>
      </c>
      <c r="G115" s="45">
        <v>1</v>
      </c>
      <c r="H115" s="50" t="s">
        <v>1063</v>
      </c>
      <c r="I115" s="45">
        <v>3</v>
      </c>
      <c r="J115" s="52">
        <v>0.85</v>
      </c>
    </row>
    <row x14ac:dyDescent="0.25" r="116" customHeight="1" ht="18">
      <c r="A116" s="50" t="s">
        <v>952</v>
      </c>
      <c r="B116" s="50" t="s">
        <v>1002</v>
      </c>
      <c r="C116" s="50" t="s">
        <v>922</v>
      </c>
      <c r="D116" s="50" t="s">
        <v>982</v>
      </c>
      <c r="E116" s="50" t="s">
        <v>955</v>
      </c>
      <c r="F116" s="88">
        <v>2.664980933556666</v>
      </c>
      <c r="G116" s="45">
        <v>1</v>
      </c>
      <c r="H116" s="50" t="s">
        <v>1063</v>
      </c>
      <c r="I116" s="45">
        <v>3</v>
      </c>
      <c r="J116" s="52">
        <v>0.85</v>
      </c>
    </row>
    <row x14ac:dyDescent="0.25" r="117" customHeight="1" ht="18">
      <c r="A117" s="50" t="s">
        <v>952</v>
      </c>
      <c r="B117" s="50" t="s">
        <v>1002</v>
      </c>
      <c r="C117" s="50" t="s">
        <v>922</v>
      </c>
      <c r="D117" s="50" t="s">
        <v>983</v>
      </c>
      <c r="E117" s="50" t="s">
        <v>955</v>
      </c>
      <c r="F117" s="88">
        <v>2.242925129599727</v>
      </c>
      <c r="G117" s="45">
        <v>1</v>
      </c>
      <c r="H117" s="50" t="s">
        <v>1063</v>
      </c>
      <c r="I117" s="45">
        <v>3</v>
      </c>
      <c r="J117" s="52">
        <v>0.85</v>
      </c>
    </row>
    <row x14ac:dyDescent="0.25" r="118" customHeight="1" ht="18">
      <c r="A118" s="50" t="s">
        <v>952</v>
      </c>
      <c r="B118" s="50" t="s">
        <v>1002</v>
      </c>
      <c r="C118" s="50" t="s">
        <v>922</v>
      </c>
      <c r="D118" s="50" t="s">
        <v>984</v>
      </c>
      <c r="E118" s="50" t="s">
        <v>955</v>
      </c>
      <c r="F118" s="88">
        <v>2.291160078623378</v>
      </c>
      <c r="G118" s="45">
        <v>1</v>
      </c>
      <c r="H118" s="50" t="s">
        <v>1063</v>
      </c>
      <c r="I118" s="45">
        <v>3</v>
      </c>
      <c r="J118" s="52">
        <v>0.85</v>
      </c>
    </row>
    <row x14ac:dyDescent="0.25" r="119" customHeight="1" ht="18">
      <c r="A119" s="50" t="s">
        <v>952</v>
      </c>
      <c r="B119" s="50" t="s">
        <v>1002</v>
      </c>
      <c r="C119" s="50" t="s">
        <v>922</v>
      </c>
      <c r="D119" s="50" t="s">
        <v>985</v>
      </c>
      <c r="E119" s="50" t="s">
        <v>955</v>
      </c>
      <c r="F119" s="45">
        <v>3</v>
      </c>
      <c r="G119" s="45">
        <v>1</v>
      </c>
      <c r="H119" s="50" t="s">
        <v>1063</v>
      </c>
      <c r="I119" s="45">
        <v>3</v>
      </c>
      <c r="J119" s="52">
        <v>0.85</v>
      </c>
    </row>
    <row x14ac:dyDescent="0.25" r="120" customHeight="1" ht="18">
      <c r="A120" s="50" t="s">
        <v>952</v>
      </c>
      <c r="B120" s="50" t="s">
        <v>1002</v>
      </c>
      <c r="C120" s="50" t="s">
        <v>923</v>
      </c>
      <c r="D120" s="50" t="s">
        <v>958</v>
      </c>
      <c r="E120" s="50" t="s">
        <v>955</v>
      </c>
      <c r="F120" s="88">
        <v>27.13215882580316</v>
      </c>
      <c r="G120" s="45">
        <v>1</v>
      </c>
      <c r="H120" s="50" t="s">
        <v>1063</v>
      </c>
      <c r="I120" s="45">
        <v>3</v>
      </c>
      <c r="J120" s="52">
        <v>0.85</v>
      </c>
    </row>
    <row x14ac:dyDescent="0.25" r="121" customHeight="1" ht="18">
      <c r="A121" s="50" t="s">
        <v>952</v>
      </c>
      <c r="B121" s="50" t="s">
        <v>1002</v>
      </c>
      <c r="C121" s="50" t="s">
        <v>923</v>
      </c>
      <c r="D121" s="50" t="s">
        <v>958</v>
      </c>
      <c r="E121" s="50" t="s">
        <v>1003</v>
      </c>
      <c r="F121" s="88">
        <v>27.13215882580316</v>
      </c>
      <c r="G121" s="45">
        <v>1</v>
      </c>
      <c r="H121" s="50" t="s">
        <v>1063</v>
      </c>
      <c r="I121" s="45">
        <v>3</v>
      </c>
      <c r="J121" s="52">
        <v>0.85</v>
      </c>
    </row>
    <row x14ac:dyDescent="0.25" r="122" customHeight="1" ht="18">
      <c r="A122" s="50" t="s">
        <v>952</v>
      </c>
      <c r="B122" s="50" t="s">
        <v>1002</v>
      </c>
      <c r="C122" s="50" t="s">
        <v>923</v>
      </c>
      <c r="D122" s="50" t="s">
        <v>986</v>
      </c>
      <c r="E122" s="50" t="s">
        <v>955</v>
      </c>
      <c r="F122" s="88">
        <v>22.91160078623378</v>
      </c>
      <c r="G122" s="45">
        <v>1</v>
      </c>
      <c r="H122" s="50" t="s">
        <v>1063</v>
      </c>
      <c r="I122" s="45">
        <v>3</v>
      </c>
      <c r="J122" s="52">
        <v>0.85</v>
      </c>
    </row>
    <row x14ac:dyDescent="0.25" r="123" customHeight="1" ht="18">
      <c r="A123" s="50" t="s">
        <v>952</v>
      </c>
      <c r="B123" s="50" t="s">
        <v>1002</v>
      </c>
      <c r="C123" s="50" t="s">
        <v>923</v>
      </c>
      <c r="D123" s="50" t="s">
        <v>986</v>
      </c>
      <c r="E123" s="50" t="s">
        <v>1003</v>
      </c>
      <c r="F123" s="88">
        <v>22.91160078623378</v>
      </c>
      <c r="G123" s="45">
        <v>1</v>
      </c>
      <c r="H123" s="50" t="s">
        <v>1063</v>
      </c>
      <c r="I123" s="45">
        <v>3</v>
      </c>
      <c r="J123" s="52">
        <v>0.85</v>
      </c>
    </row>
    <row x14ac:dyDescent="0.25" r="124" customHeight="1" ht="18">
      <c r="A124" s="50" t="s">
        <v>952</v>
      </c>
      <c r="B124" s="50" t="s">
        <v>1002</v>
      </c>
      <c r="C124" s="50" t="s">
        <v>923</v>
      </c>
      <c r="D124" s="50" t="s">
        <v>988</v>
      </c>
      <c r="E124" s="50" t="s">
        <v>955</v>
      </c>
      <c r="F124" s="88">
        <v>2.664980933556666</v>
      </c>
      <c r="G124" s="45">
        <v>1</v>
      </c>
      <c r="H124" s="50" t="s">
        <v>1063</v>
      </c>
      <c r="I124" s="45">
        <v>3</v>
      </c>
      <c r="J124" s="52">
        <v>0.85</v>
      </c>
    </row>
    <row x14ac:dyDescent="0.25" r="125" customHeight="1" ht="18">
      <c r="A125" s="50" t="s">
        <v>952</v>
      </c>
      <c r="B125" s="50" t="s">
        <v>1002</v>
      </c>
      <c r="C125" s="50" t="s">
        <v>923</v>
      </c>
      <c r="D125" s="50" t="s">
        <v>989</v>
      </c>
      <c r="E125" s="50" t="s">
        <v>955</v>
      </c>
      <c r="F125" s="88">
        <v>2.242925129599727</v>
      </c>
      <c r="G125" s="45">
        <v>1</v>
      </c>
      <c r="H125" s="50" t="s">
        <v>1063</v>
      </c>
      <c r="I125" s="45">
        <v>3</v>
      </c>
      <c r="J125" s="52">
        <v>0.85</v>
      </c>
    </row>
    <row x14ac:dyDescent="0.25" r="126" customHeight="1" ht="18">
      <c r="A126" s="50" t="s">
        <v>952</v>
      </c>
      <c r="B126" s="50" t="s">
        <v>1002</v>
      </c>
      <c r="C126" s="50" t="s">
        <v>929</v>
      </c>
      <c r="D126" s="50" t="s">
        <v>1064</v>
      </c>
      <c r="E126" s="50" t="s">
        <v>955</v>
      </c>
      <c r="F126" s="59">
        <v>9.8</v>
      </c>
      <c r="G126" s="45">
        <v>1</v>
      </c>
      <c r="H126" s="50" t="s">
        <v>1055</v>
      </c>
      <c r="I126" s="45">
        <v>4</v>
      </c>
      <c r="J126" s="52">
        <v>0.85</v>
      </c>
    </row>
    <row x14ac:dyDescent="0.25" r="127" customHeight="1" ht="18">
      <c r="A127" s="50" t="s">
        <v>952</v>
      </c>
      <c r="B127" s="50" t="s">
        <v>1002</v>
      </c>
      <c r="C127" s="50" t="s">
        <v>929</v>
      </c>
      <c r="D127" s="50" t="s">
        <v>1065</v>
      </c>
      <c r="E127" s="50" t="s">
        <v>955</v>
      </c>
      <c r="F127" s="59">
        <v>30</v>
      </c>
      <c r="G127" s="45">
        <v>1</v>
      </c>
      <c r="H127" s="50" t="s">
        <v>1055</v>
      </c>
      <c r="I127" s="45">
        <v>4</v>
      </c>
      <c r="J127" s="52">
        <v>0.85</v>
      </c>
    </row>
    <row x14ac:dyDescent="0.25" r="128" customHeight="1" ht="18">
      <c r="A128" s="50" t="s">
        <v>952</v>
      </c>
      <c r="B128" s="50" t="s">
        <v>1002</v>
      </c>
      <c r="C128" s="50" t="s">
        <v>929</v>
      </c>
      <c r="D128" s="50" t="s">
        <v>1066</v>
      </c>
      <c r="E128" s="50" t="s">
        <v>1003</v>
      </c>
      <c r="F128" s="59">
        <v>31.8</v>
      </c>
      <c r="G128" s="45">
        <v>1</v>
      </c>
      <c r="H128" s="50" t="s">
        <v>1055</v>
      </c>
      <c r="I128" s="45">
        <v>4</v>
      </c>
      <c r="J128" s="52">
        <v>0.85</v>
      </c>
    </row>
    <row x14ac:dyDescent="0.25" r="129" customHeight="1" ht="18">
      <c r="A129" s="50" t="s">
        <v>952</v>
      </c>
      <c r="B129" s="50" t="s">
        <v>1002</v>
      </c>
      <c r="C129" s="50" t="s">
        <v>929</v>
      </c>
      <c r="D129" s="50" t="s">
        <v>1067</v>
      </c>
      <c r="E129" s="50" t="s">
        <v>955</v>
      </c>
      <c r="F129" s="59">
        <v>68.8</v>
      </c>
      <c r="G129" s="45">
        <v>1</v>
      </c>
      <c r="H129" s="50" t="s">
        <v>1055</v>
      </c>
      <c r="I129" s="45">
        <v>4</v>
      </c>
      <c r="J129" s="52">
        <v>0.85</v>
      </c>
    </row>
    <row x14ac:dyDescent="0.25" r="130" customHeight="1" ht="18">
      <c r="A130" s="50" t="s">
        <v>952</v>
      </c>
      <c r="B130" s="50" t="s">
        <v>1002</v>
      </c>
      <c r="C130" s="50" t="s">
        <v>929</v>
      </c>
      <c r="D130" s="50" t="s">
        <v>1068</v>
      </c>
      <c r="E130" s="50" t="s">
        <v>1003</v>
      </c>
      <c r="F130" s="59">
        <v>78.5</v>
      </c>
      <c r="G130" s="45">
        <v>1</v>
      </c>
      <c r="H130" s="50" t="s">
        <v>1055</v>
      </c>
      <c r="I130" s="45">
        <v>4</v>
      </c>
      <c r="J130" s="52">
        <v>0.85</v>
      </c>
    </row>
    <row x14ac:dyDescent="0.25" r="131" customHeight="1" ht="18">
      <c r="A131" s="50" t="s">
        <v>952</v>
      </c>
      <c r="B131" s="50" t="s">
        <v>1002</v>
      </c>
      <c r="C131" s="50" t="s">
        <v>929</v>
      </c>
      <c r="D131" s="50" t="s">
        <v>1069</v>
      </c>
      <c r="E131" s="50" t="s">
        <v>955</v>
      </c>
      <c r="F131" s="59">
        <v>29</v>
      </c>
      <c r="G131" s="45">
        <v>1</v>
      </c>
      <c r="H131" s="50" t="s">
        <v>1055</v>
      </c>
      <c r="I131" s="45">
        <v>4</v>
      </c>
      <c r="J131" s="52">
        <v>0.85</v>
      </c>
    </row>
    <row x14ac:dyDescent="0.25" r="132" customHeight="1" ht="18">
      <c r="A132" s="50" t="s">
        <v>952</v>
      </c>
      <c r="B132" s="50" t="s">
        <v>1002</v>
      </c>
      <c r="C132" s="50" t="s">
        <v>929</v>
      </c>
      <c r="D132" s="50" t="s">
        <v>1070</v>
      </c>
      <c r="E132" s="50" t="s">
        <v>1003</v>
      </c>
      <c r="F132" s="59">
        <v>32.8</v>
      </c>
      <c r="G132" s="45">
        <v>1</v>
      </c>
      <c r="H132" s="50" t="s">
        <v>1055</v>
      </c>
      <c r="I132" s="45">
        <v>4</v>
      </c>
      <c r="J132" s="52">
        <v>0.85</v>
      </c>
    </row>
    <row x14ac:dyDescent="0.25" r="133" customHeight="1" ht="18">
      <c r="A133" s="50" t="s">
        <v>952</v>
      </c>
      <c r="B133" s="50" t="s">
        <v>1002</v>
      </c>
      <c r="C133" s="50" t="s">
        <v>929</v>
      </c>
      <c r="D133" s="50" t="s">
        <v>1071</v>
      </c>
      <c r="E133" s="50" t="s">
        <v>955</v>
      </c>
      <c r="F133" s="59">
        <v>30.2</v>
      </c>
      <c r="G133" s="45">
        <v>1</v>
      </c>
      <c r="H133" s="50" t="s">
        <v>1055</v>
      </c>
      <c r="I133" s="45">
        <v>4</v>
      </c>
      <c r="J133" s="52">
        <v>0.85</v>
      </c>
    </row>
    <row x14ac:dyDescent="0.25" r="134" customHeight="1" ht="18">
      <c r="A134" s="50" t="s">
        <v>952</v>
      </c>
      <c r="B134" s="50" t="s">
        <v>1002</v>
      </c>
      <c r="C134" s="50" t="s">
        <v>929</v>
      </c>
      <c r="D134" s="50" t="s">
        <v>1072</v>
      </c>
      <c r="E134" s="50" t="s">
        <v>1003</v>
      </c>
      <c r="F134" s="59">
        <v>30.2</v>
      </c>
      <c r="G134" s="45">
        <v>1</v>
      </c>
      <c r="H134" s="50" t="s">
        <v>1055</v>
      </c>
      <c r="I134" s="45">
        <v>4</v>
      </c>
      <c r="J134" s="52">
        <v>0.85</v>
      </c>
    </row>
    <row x14ac:dyDescent="0.25" r="135" customHeight="1" ht="18">
      <c r="A135" s="50" t="s">
        <v>952</v>
      </c>
      <c r="B135" s="50" t="s">
        <v>1002</v>
      </c>
      <c r="C135" s="50" t="s">
        <v>929</v>
      </c>
      <c r="D135" s="50" t="s">
        <v>1073</v>
      </c>
      <c r="E135" s="50" t="s">
        <v>955</v>
      </c>
      <c r="F135" s="59">
        <v>1.6</v>
      </c>
      <c r="G135" s="45">
        <v>1</v>
      </c>
      <c r="H135" s="50" t="s">
        <v>1055</v>
      </c>
      <c r="I135" s="45">
        <v>4</v>
      </c>
      <c r="J135" s="52">
        <v>0.85</v>
      </c>
    </row>
    <row x14ac:dyDescent="0.25" r="136" customHeight="1" ht="18">
      <c r="A136" s="50" t="s">
        <v>952</v>
      </c>
      <c r="B136" s="50" t="s">
        <v>1002</v>
      </c>
      <c r="C136" s="50" t="s">
        <v>930</v>
      </c>
      <c r="D136" s="50" t="s">
        <v>1064</v>
      </c>
      <c r="E136" s="50" t="s">
        <v>955</v>
      </c>
      <c r="F136" s="59">
        <v>9.8</v>
      </c>
      <c r="G136" s="45">
        <v>1</v>
      </c>
      <c r="H136" s="50" t="s">
        <v>1055</v>
      </c>
      <c r="I136" s="45">
        <v>4</v>
      </c>
      <c r="J136" s="52">
        <v>0.85</v>
      </c>
    </row>
    <row x14ac:dyDescent="0.25" r="137" customHeight="1" ht="18">
      <c r="A137" s="50" t="s">
        <v>952</v>
      </c>
      <c r="B137" s="50" t="s">
        <v>1002</v>
      </c>
      <c r="C137" s="50" t="s">
        <v>930</v>
      </c>
      <c r="D137" s="50" t="s">
        <v>1065</v>
      </c>
      <c r="E137" s="50" t="s">
        <v>955</v>
      </c>
      <c r="F137" s="59">
        <v>30</v>
      </c>
      <c r="G137" s="45">
        <v>1</v>
      </c>
      <c r="H137" s="50" t="s">
        <v>1055</v>
      </c>
      <c r="I137" s="45">
        <v>4</v>
      </c>
      <c r="J137" s="52">
        <v>0.85</v>
      </c>
    </row>
    <row x14ac:dyDescent="0.25" r="138" customHeight="1" ht="18">
      <c r="A138" s="50" t="s">
        <v>952</v>
      </c>
      <c r="B138" s="50" t="s">
        <v>1002</v>
      </c>
      <c r="C138" s="50" t="s">
        <v>930</v>
      </c>
      <c r="D138" s="50" t="s">
        <v>1066</v>
      </c>
      <c r="E138" s="50" t="s">
        <v>1003</v>
      </c>
      <c r="F138" s="59">
        <v>31.8</v>
      </c>
      <c r="G138" s="45">
        <v>1</v>
      </c>
      <c r="H138" s="50" t="s">
        <v>1055</v>
      </c>
      <c r="I138" s="45">
        <v>4</v>
      </c>
      <c r="J138" s="52">
        <v>0.85</v>
      </c>
    </row>
    <row x14ac:dyDescent="0.25" r="139" customHeight="1" ht="18">
      <c r="A139" s="50" t="s">
        <v>952</v>
      </c>
      <c r="B139" s="50" t="s">
        <v>1002</v>
      </c>
      <c r="C139" s="50" t="s">
        <v>930</v>
      </c>
      <c r="D139" s="50" t="s">
        <v>1067</v>
      </c>
      <c r="E139" s="50" t="s">
        <v>955</v>
      </c>
      <c r="F139" s="59">
        <v>68.8</v>
      </c>
      <c r="G139" s="45">
        <v>1</v>
      </c>
      <c r="H139" s="50" t="s">
        <v>1055</v>
      </c>
      <c r="I139" s="45">
        <v>4</v>
      </c>
      <c r="J139" s="52">
        <v>0.85</v>
      </c>
    </row>
    <row x14ac:dyDescent="0.25" r="140" customHeight="1" ht="18">
      <c r="A140" s="50" t="s">
        <v>952</v>
      </c>
      <c r="B140" s="50" t="s">
        <v>1002</v>
      </c>
      <c r="C140" s="50" t="s">
        <v>930</v>
      </c>
      <c r="D140" s="50" t="s">
        <v>1068</v>
      </c>
      <c r="E140" s="50" t="s">
        <v>1003</v>
      </c>
      <c r="F140" s="59">
        <v>78.5</v>
      </c>
      <c r="G140" s="45">
        <v>1</v>
      </c>
      <c r="H140" s="50" t="s">
        <v>1055</v>
      </c>
      <c r="I140" s="45">
        <v>4</v>
      </c>
      <c r="J140" s="52">
        <v>0.85</v>
      </c>
    </row>
    <row x14ac:dyDescent="0.25" r="141" customHeight="1" ht="18">
      <c r="A141" s="50" t="s">
        <v>952</v>
      </c>
      <c r="B141" s="50" t="s">
        <v>1002</v>
      </c>
      <c r="C141" s="50" t="s">
        <v>930</v>
      </c>
      <c r="D141" s="50" t="s">
        <v>1069</v>
      </c>
      <c r="E141" s="50" t="s">
        <v>955</v>
      </c>
      <c r="F141" s="59">
        <v>29</v>
      </c>
      <c r="G141" s="45">
        <v>1</v>
      </c>
      <c r="H141" s="50" t="s">
        <v>1055</v>
      </c>
      <c r="I141" s="45">
        <v>4</v>
      </c>
      <c r="J141" s="52">
        <v>0.85</v>
      </c>
    </row>
    <row x14ac:dyDescent="0.25" r="142" customHeight="1" ht="18">
      <c r="A142" s="50" t="s">
        <v>952</v>
      </c>
      <c r="B142" s="50" t="s">
        <v>1002</v>
      </c>
      <c r="C142" s="50" t="s">
        <v>930</v>
      </c>
      <c r="D142" s="50" t="s">
        <v>1070</v>
      </c>
      <c r="E142" s="50" t="s">
        <v>1003</v>
      </c>
      <c r="F142" s="59">
        <v>32.8</v>
      </c>
      <c r="G142" s="45">
        <v>1</v>
      </c>
      <c r="H142" s="50" t="s">
        <v>1055</v>
      </c>
      <c r="I142" s="45">
        <v>4</v>
      </c>
      <c r="J142" s="52">
        <v>0.85</v>
      </c>
    </row>
    <row x14ac:dyDescent="0.25" r="143" customHeight="1" ht="18">
      <c r="A143" s="50" t="s">
        <v>952</v>
      </c>
      <c r="B143" s="50" t="s">
        <v>1002</v>
      </c>
      <c r="C143" s="50" t="s">
        <v>930</v>
      </c>
      <c r="D143" s="50" t="s">
        <v>1071</v>
      </c>
      <c r="E143" s="50" t="s">
        <v>955</v>
      </c>
      <c r="F143" s="59">
        <v>30.2</v>
      </c>
      <c r="G143" s="45">
        <v>1</v>
      </c>
      <c r="H143" s="50" t="s">
        <v>1055</v>
      </c>
      <c r="I143" s="45">
        <v>4</v>
      </c>
      <c r="J143" s="52">
        <v>0.85</v>
      </c>
    </row>
    <row x14ac:dyDescent="0.25" r="144" customHeight="1" ht="18">
      <c r="A144" s="50" t="s">
        <v>952</v>
      </c>
      <c r="B144" s="50" t="s">
        <v>1002</v>
      </c>
      <c r="C144" s="50" t="s">
        <v>930</v>
      </c>
      <c r="D144" s="50" t="s">
        <v>1072</v>
      </c>
      <c r="E144" s="50" t="s">
        <v>1003</v>
      </c>
      <c r="F144" s="59">
        <v>30.2</v>
      </c>
      <c r="G144" s="45">
        <v>1</v>
      </c>
      <c r="H144" s="50" t="s">
        <v>1055</v>
      </c>
      <c r="I144" s="45">
        <v>4</v>
      </c>
      <c r="J144" s="52">
        <v>0.85</v>
      </c>
    </row>
    <row x14ac:dyDescent="0.25" r="145" customHeight="1" ht="18">
      <c r="A145" s="50" t="s">
        <v>952</v>
      </c>
      <c r="B145" s="50" t="s">
        <v>1002</v>
      </c>
      <c r="C145" s="50" t="s">
        <v>930</v>
      </c>
      <c r="D145" s="50" t="s">
        <v>1073</v>
      </c>
      <c r="E145" s="50" t="s">
        <v>955</v>
      </c>
      <c r="F145" s="59">
        <v>1.6</v>
      </c>
      <c r="G145" s="45">
        <v>1</v>
      </c>
      <c r="H145" s="50" t="s">
        <v>1055</v>
      </c>
      <c r="I145" s="45">
        <v>4</v>
      </c>
      <c r="J145" s="52">
        <v>0.85</v>
      </c>
    </row>
    <row x14ac:dyDescent="0.25" r="146" customHeight="1" ht="18">
      <c r="A146" s="50" t="s">
        <v>952</v>
      </c>
      <c r="B146" s="50" t="s">
        <v>1002</v>
      </c>
      <c r="C146" s="50" t="s">
        <v>931</v>
      </c>
      <c r="D146" s="50" t="s">
        <v>1074</v>
      </c>
      <c r="E146" s="50" t="s">
        <v>955</v>
      </c>
      <c r="F146" s="59">
        <v>25.8</v>
      </c>
      <c r="G146" s="45">
        <v>1</v>
      </c>
      <c r="H146" s="50" t="s">
        <v>1055</v>
      </c>
      <c r="I146" s="45">
        <v>4</v>
      </c>
      <c r="J146" s="52">
        <v>0.85</v>
      </c>
    </row>
    <row x14ac:dyDescent="0.25" r="147" customHeight="1" ht="18">
      <c r="A147" s="50" t="s">
        <v>952</v>
      </c>
      <c r="B147" s="50" t="s">
        <v>1002</v>
      </c>
      <c r="C147" s="50" t="s">
        <v>931</v>
      </c>
      <c r="D147" s="50" t="s">
        <v>1075</v>
      </c>
      <c r="E147" s="50" t="s">
        <v>1003</v>
      </c>
      <c r="F147" s="59">
        <v>25</v>
      </c>
      <c r="G147" s="45">
        <v>1</v>
      </c>
      <c r="H147" s="50" t="s">
        <v>1055</v>
      </c>
      <c r="I147" s="45">
        <v>4</v>
      </c>
      <c r="J147" s="52">
        <v>0.85</v>
      </c>
    </row>
    <row x14ac:dyDescent="0.25" r="148" customHeight="1" ht="18">
      <c r="A148" s="50" t="s">
        <v>952</v>
      </c>
      <c r="B148" s="50" t="s">
        <v>1002</v>
      </c>
      <c r="C148" s="50" t="s">
        <v>931</v>
      </c>
      <c r="D148" s="50" t="s">
        <v>1076</v>
      </c>
      <c r="E148" s="50" t="s">
        <v>955</v>
      </c>
      <c r="F148" s="59">
        <v>27</v>
      </c>
      <c r="G148" s="45">
        <v>1</v>
      </c>
      <c r="H148" s="50" t="s">
        <v>1055</v>
      </c>
      <c r="I148" s="45">
        <v>4</v>
      </c>
      <c r="J148" s="52">
        <v>0.85</v>
      </c>
    </row>
    <row x14ac:dyDescent="0.25" r="149" customHeight="1" ht="18">
      <c r="A149" s="50" t="s">
        <v>952</v>
      </c>
      <c r="B149" s="50" t="s">
        <v>1002</v>
      </c>
      <c r="C149" s="50" t="s">
        <v>931</v>
      </c>
      <c r="D149" s="50" t="s">
        <v>1077</v>
      </c>
      <c r="E149" s="50" t="s">
        <v>1003</v>
      </c>
      <c r="F149" s="59">
        <v>38.67</v>
      </c>
      <c r="G149" s="45">
        <v>1</v>
      </c>
      <c r="H149" s="50" t="s">
        <v>1055</v>
      </c>
      <c r="I149" s="45">
        <v>4</v>
      </c>
      <c r="J149" s="52">
        <v>0.85</v>
      </c>
    </row>
    <row x14ac:dyDescent="0.25" r="150" customHeight="1" ht="18">
      <c r="A150" s="50" t="s">
        <v>952</v>
      </c>
      <c r="B150" s="50" t="s">
        <v>1002</v>
      </c>
      <c r="C150" s="50" t="s">
        <v>931</v>
      </c>
      <c r="D150" s="50" t="s">
        <v>1040</v>
      </c>
      <c r="E150" s="50" t="s">
        <v>955</v>
      </c>
      <c r="F150" s="59">
        <v>36.38</v>
      </c>
      <c r="G150" s="45">
        <v>1</v>
      </c>
      <c r="H150" s="50" t="s">
        <v>1055</v>
      </c>
      <c r="I150" s="45">
        <v>4</v>
      </c>
      <c r="J150" s="52">
        <v>0.85</v>
      </c>
    </row>
    <row x14ac:dyDescent="0.25" r="151" customHeight="1" ht="18">
      <c r="A151" s="50" t="s">
        <v>952</v>
      </c>
      <c r="B151" s="50" t="s">
        <v>1002</v>
      </c>
      <c r="C151" s="50" t="s">
        <v>931</v>
      </c>
      <c r="D151" s="50" t="s">
        <v>1041</v>
      </c>
      <c r="E151" s="50" t="s">
        <v>955</v>
      </c>
      <c r="F151" s="59">
        <v>3.56</v>
      </c>
      <c r="G151" s="45">
        <v>1</v>
      </c>
      <c r="H151" s="50" t="s">
        <v>1055</v>
      </c>
      <c r="I151" s="45">
        <v>4</v>
      </c>
      <c r="J151" s="52">
        <v>0.85</v>
      </c>
    </row>
    <row x14ac:dyDescent="0.25" r="152" customHeight="1" ht="18">
      <c r="A152" s="50" t="s">
        <v>952</v>
      </c>
      <c r="B152" s="50" t="s">
        <v>1002</v>
      </c>
      <c r="C152" s="50" t="s">
        <v>932</v>
      </c>
      <c r="D152" s="50" t="s">
        <v>1078</v>
      </c>
      <c r="E152" s="50" t="s">
        <v>955</v>
      </c>
      <c r="F152" s="59">
        <v>81.48</v>
      </c>
      <c r="G152" s="45">
        <v>1</v>
      </c>
      <c r="H152" s="50" t="s">
        <v>1055</v>
      </c>
      <c r="I152" s="45">
        <v>4</v>
      </c>
      <c r="J152" s="52">
        <v>0.85</v>
      </c>
    </row>
    <row x14ac:dyDescent="0.25" r="153" customHeight="1" ht="18">
      <c r="A153" s="50" t="s">
        <v>952</v>
      </c>
      <c r="B153" s="50" t="s">
        <v>1002</v>
      </c>
      <c r="C153" s="50" t="s">
        <v>932</v>
      </c>
      <c r="D153" s="50" t="s">
        <v>1079</v>
      </c>
      <c r="E153" s="50" t="s">
        <v>1003</v>
      </c>
      <c r="F153" s="59">
        <v>36.95</v>
      </c>
      <c r="G153" s="45">
        <v>1</v>
      </c>
      <c r="H153" s="50" t="s">
        <v>1055</v>
      </c>
      <c r="I153" s="45">
        <v>4</v>
      </c>
      <c r="J153" s="52">
        <v>0.85</v>
      </c>
    </row>
    <row x14ac:dyDescent="0.25" r="154" customHeight="1" ht="18">
      <c r="A154" s="50" t="s">
        <v>952</v>
      </c>
      <c r="B154" s="50" t="s">
        <v>1002</v>
      </c>
      <c r="C154" s="50" t="s">
        <v>933</v>
      </c>
      <c r="D154" s="50" t="s">
        <v>1067</v>
      </c>
      <c r="E154" s="50" t="s">
        <v>955</v>
      </c>
      <c r="F154" s="59">
        <v>72.78</v>
      </c>
      <c r="G154" s="45">
        <v>1</v>
      </c>
      <c r="H154" s="50" t="s">
        <v>1055</v>
      </c>
      <c r="I154" s="45">
        <v>4</v>
      </c>
      <c r="J154" s="52">
        <v>0.85</v>
      </c>
    </row>
    <row x14ac:dyDescent="0.25" r="155" customHeight="1" ht="18">
      <c r="A155" s="50" t="s">
        <v>952</v>
      </c>
      <c r="B155" s="50" t="s">
        <v>1002</v>
      </c>
      <c r="C155" s="50" t="s">
        <v>933</v>
      </c>
      <c r="D155" s="50" t="s">
        <v>1068</v>
      </c>
      <c r="E155" s="50" t="s">
        <v>1003</v>
      </c>
      <c r="F155" s="59">
        <v>29.18</v>
      </c>
      <c r="G155" s="45">
        <v>1</v>
      </c>
      <c r="H155" s="50" t="s">
        <v>1055</v>
      </c>
      <c r="I155" s="45">
        <v>4</v>
      </c>
      <c r="J155" s="52">
        <v>0.85</v>
      </c>
    </row>
    <row x14ac:dyDescent="0.25" r="156" customHeight="1" ht="18">
      <c r="A156" s="50" t="s">
        <v>952</v>
      </c>
      <c r="B156" s="50" t="s">
        <v>1002</v>
      </c>
      <c r="C156" s="50" t="s">
        <v>933</v>
      </c>
      <c r="D156" s="50" t="s">
        <v>1080</v>
      </c>
      <c r="E156" s="50" t="s">
        <v>955</v>
      </c>
      <c r="F156" s="59">
        <v>11.65</v>
      </c>
      <c r="G156" s="45">
        <v>1</v>
      </c>
      <c r="H156" s="50" t="s">
        <v>1055</v>
      </c>
      <c r="I156" s="45">
        <v>4</v>
      </c>
      <c r="J156" s="52">
        <v>0.85</v>
      </c>
    </row>
    <row x14ac:dyDescent="0.25" r="157" customHeight="1" ht="18">
      <c r="A157" s="50" t="s">
        <v>952</v>
      </c>
      <c r="B157" s="50" t="s">
        <v>1002</v>
      </c>
      <c r="C157" s="50" t="s">
        <v>933</v>
      </c>
      <c r="D157" s="50" t="s">
        <v>1081</v>
      </c>
      <c r="E157" s="50" t="s">
        <v>1003</v>
      </c>
      <c r="F157" s="59">
        <v>11.81</v>
      </c>
      <c r="G157" s="45">
        <v>1</v>
      </c>
      <c r="H157" s="50" t="s">
        <v>1055</v>
      </c>
      <c r="I157" s="45">
        <v>4</v>
      </c>
      <c r="J157" s="52">
        <v>0.85</v>
      </c>
    </row>
    <row x14ac:dyDescent="0.25" r="158" customHeight="1" ht="18">
      <c r="A158" s="50" t="s">
        <v>952</v>
      </c>
      <c r="B158" s="50" t="s">
        <v>1002</v>
      </c>
      <c r="C158" s="50" t="s">
        <v>933</v>
      </c>
      <c r="D158" s="50" t="s">
        <v>1082</v>
      </c>
      <c r="E158" s="50" t="s">
        <v>955</v>
      </c>
      <c r="F158" s="59">
        <v>15.69</v>
      </c>
      <c r="G158" s="45">
        <v>1</v>
      </c>
      <c r="H158" s="50" t="s">
        <v>1055</v>
      </c>
      <c r="I158" s="45">
        <v>4</v>
      </c>
      <c r="J158" s="52">
        <v>0.85</v>
      </c>
    </row>
    <row x14ac:dyDescent="0.25" r="159" customHeight="1" ht="18">
      <c r="A159" s="50" t="s">
        <v>952</v>
      </c>
      <c r="B159" s="50" t="s">
        <v>1002</v>
      </c>
      <c r="C159" s="50" t="s">
        <v>933</v>
      </c>
      <c r="D159" s="50" t="s">
        <v>1083</v>
      </c>
      <c r="E159" s="50" t="s">
        <v>1003</v>
      </c>
      <c r="F159" s="59">
        <v>35.4</v>
      </c>
      <c r="G159" s="45">
        <v>1</v>
      </c>
      <c r="H159" s="50" t="s">
        <v>1055</v>
      </c>
      <c r="I159" s="45">
        <v>4</v>
      </c>
      <c r="J159" s="52">
        <v>0.85</v>
      </c>
    </row>
    <row x14ac:dyDescent="0.25" r="160" customHeight="1" ht="18">
      <c r="A160" s="50" t="s">
        <v>952</v>
      </c>
      <c r="B160" s="50" t="s">
        <v>1002</v>
      </c>
      <c r="C160" s="50" t="s">
        <v>933</v>
      </c>
      <c r="D160" s="50" t="s">
        <v>1084</v>
      </c>
      <c r="E160" s="50" t="s">
        <v>955</v>
      </c>
      <c r="F160" s="59">
        <v>4.35</v>
      </c>
      <c r="G160" s="45">
        <v>1</v>
      </c>
      <c r="H160" s="50" t="s">
        <v>1055</v>
      </c>
      <c r="I160" s="45">
        <v>4</v>
      </c>
      <c r="J160" s="52">
        <v>0.85</v>
      </c>
    </row>
    <row x14ac:dyDescent="0.25" r="161" customHeight="1" ht="18">
      <c r="A161" s="50" t="s">
        <v>952</v>
      </c>
      <c r="B161" s="50" t="s">
        <v>1002</v>
      </c>
      <c r="C161" s="50" t="s">
        <v>934</v>
      </c>
      <c r="D161" s="50" t="s">
        <v>1082</v>
      </c>
      <c r="E161" s="50" t="s">
        <v>955</v>
      </c>
      <c r="F161" s="59">
        <v>31.17</v>
      </c>
      <c r="G161" s="45">
        <v>1</v>
      </c>
      <c r="H161" s="50" t="s">
        <v>1055</v>
      </c>
      <c r="I161" s="45">
        <v>4</v>
      </c>
      <c r="J161" s="52">
        <v>0.85</v>
      </c>
    </row>
    <row x14ac:dyDescent="0.25" r="162" customHeight="1" ht="18">
      <c r="A162" s="50" t="s">
        <v>952</v>
      </c>
      <c r="B162" s="50" t="s">
        <v>1002</v>
      </c>
      <c r="C162" s="50" t="s">
        <v>934</v>
      </c>
      <c r="D162" s="50" t="s">
        <v>1083</v>
      </c>
      <c r="E162" s="50" t="s">
        <v>1003</v>
      </c>
      <c r="F162" s="59">
        <v>31.65</v>
      </c>
      <c r="G162" s="45">
        <v>1</v>
      </c>
      <c r="H162" s="50" t="s">
        <v>1055</v>
      </c>
      <c r="I162" s="45">
        <v>4</v>
      </c>
      <c r="J162" s="52">
        <v>0.85</v>
      </c>
    </row>
    <row x14ac:dyDescent="0.25" r="163" customHeight="1" ht="18">
      <c r="A163" s="50" t="s">
        <v>952</v>
      </c>
      <c r="B163" s="50" t="s">
        <v>1002</v>
      </c>
      <c r="C163" s="50" t="s">
        <v>934</v>
      </c>
      <c r="D163" s="50" t="s">
        <v>1067</v>
      </c>
      <c r="E163" s="50" t="s">
        <v>955</v>
      </c>
      <c r="F163" s="59">
        <v>27.9</v>
      </c>
      <c r="G163" s="45">
        <v>1</v>
      </c>
      <c r="H163" s="50" t="s">
        <v>1055</v>
      </c>
      <c r="I163" s="45">
        <v>4</v>
      </c>
      <c r="J163" s="52">
        <v>0.85</v>
      </c>
    </row>
    <row x14ac:dyDescent="0.25" r="164" customHeight="1" ht="18">
      <c r="A164" s="50" t="s">
        <v>952</v>
      </c>
      <c r="B164" s="50" t="s">
        <v>1002</v>
      </c>
      <c r="C164" s="50" t="s">
        <v>934</v>
      </c>
      <c r="D164" s="50" t="s">
        <v>1068</v>
      </c>
      <c r="E164" s="50" t="s">
        <v>1003</v>
      </c>
      <c r="F164" s="59">
        <v>65.9</v>
      </c>
      <c r="G164" s="45">
        <v>1</v>
      </c>
      <c r="H164" s="50" t="s">
        <v>1055</v>
      </c>
      <c r="I164" s="45">
        <v>4</v>
      </c>
      <c r="J164" s="52">
        <v>0.85</v>
      </c>
    </row>
    <row x14ac:dyDescent="0.25" r="165" customHeight="1" ht="18">
      <c r="A165" s="50" t="s">
        <v>952</v>
      </c>
      <c r="B165" s="50" t="s">
        <v>1002</v>
      </c>
      <c r="C165" s="50" t="s">
        <v>934</v>
      </c>
      <c r="D165" s="50" t="s">
        <v>1085</v>
      </c>
      <c r="E165" s="50" t="s">
        <v>955</v>
      </c>
      <c r="F165" s="59">
        <v>3.71</v>
      </c>
      <c r="G165" s="45">
        <v>1</v>
      </c>
      <c r="H165" s="50" t="s">
        <v>1055</v>
      </c>
      <c r="I165" s="45">
        <v>4</v>
      </c>
      <c r="J165" s="52">
        <v>0.85</v>
      </c>
    </row>
    <row x14ac:dyDescent="0.25" r="166" customHeight="1" ht="18">
      <c r="A166" s="50" t="s">
        <v>952</v>
      </c>
      <c r="B166" s="50" t="s">
        <v>1002</v>
      </c>
      <c r="C166" s="50" t="s">
        <v>934</v>
      </c>
      <c r="D166" s="50" t="s">
        <v>1086</v>
      </c>
      <c r="E166" s="50" t="s">
        <v>955</v>
      </c>
      <c r="F166" s="59">
        <v>1.63</v>
      </c>
      <c r="G166" s="45">
        <v>1</v>
      </c>
      <c r="H166" s="50" t="s">
        <v>1055</v>
      </c>
      <c r="I166" s="45">
        <v>4</v>
      </c>
      <c r="J166" s="52">
        <v>0.85</v>
      </c>
    </row>
    <row x14ac:dyDescent="0.25" r="167" customHeight="1" ht="18">
      <c r="A167" s="50" t="s">
        <v>952</v>
      </c>
      <c r="B167" s="50" t="s">
        <v>1002</v>
      </c>
      <c r="C167" s="50" t="s">
        <v>935</v>
      </c>
      <c r="D167" s="50" t="s">
        <v>1082</v>
      </c>
      <c r="E167" s="50" t="s">
        <v>955</v>
      </c>
      <c r="F167" s="59">
        <v>31.17</v>
      </c>
      <c r="G167" s="45">
        <v>1</v>
      </c>
      <c r="H167" s="50" t="s">
        <v>1055</v>
      </c>
      <c r="I167" s="45">
        <v>4</v>
      </c>
      <c r="J167" s="52">
        <v>0.85</v>
      </c>
    </row>
    <row x14ac:dyDescent="0.25" r="168" customHeight="1" ht="18">
      <c r="A168" s="50" t="s">
        <v>952</v>
      </c>
      <c r="B168" s="50" t="s">
        <v>1002</v>
      </c>
      <c r="C168" s="50" t="s">
        <v>935</v>
      </c>
      <c r="D168" s="50" t="s">
        <v>1083</v>
      </c>
      <c r="E168" s="50" t="s">
        <v>1003</v>
      </c>
      <c r="F168" s="59">
        <v>31.65</v>
      </c>
      <c r="G168" s="45">
        <v>1</v>
      </c>
      <c r="H168" s="50" t="s">
        <v>1055</v>
      </c>
      <c r="I168" s="45">
        <v>4</v>
      </c>
      <c r="J168" s="52">
        <v>0.85</v>
      </c>
    </row>
    <row x14ac:dyDescent="0.25" r="169" customHeight="1" ht="18">
      <c r="A169" s="50" t="s">
        <v>952</v>
      </c>
      <c r="B169" s="50" t="s">
        <v>1002</v>
      </c>
      <c r="C169" s="50" t="s">
        <v>935</v>
      </c>
      <c r="D169" s="50" t="s">
        <v>1067</v>
      </c>
      <c r="E169" s="50" t="s">
        <v>955</v>
      </c>
      <c r="F169" s="59">
        <v>27.9</v>
      </c>
      <c r="G169" s="45">
        <v>1</v>
      </c>
      <c r="H169" s="50" t="s">
        <v>1055</v>
      </c>
      <c r="I169" s="45">
        <v>4</v>
      </c>
      <c r="J169" s="52">
        <v>0.85</v>
      </c>
    </row>
    <row x14ac:dyDescent="0.25" r="170" customHeight="1" ht="18">
      <c r="A170" s="50" t="s">
        <v>952</v>
      </c>
      <c r="B170" s="50" t="s">
        <v>1002</v>
      </c>
      <c r="C170" s="50" t="s">
        <v>935</v>
      </c>
      <c r="D170" s="50" t="s">
        <v>1068</v>
      </c>
      <c r="E170" s="50" t="s">
        <v>1003</v>
      </c>
      <c r="F170" s="59">
        <v>65.9</v>
      </c>
      <c r="G170" s="45">
        <v>1</v>
      </c>
      <c r="H170" s="50" t="s">
        <v>1055</v>
      </c>
      <c r="I170" s="45">
        <v>4</v>
      </c>
      <c r="J170" s="52">
        <v>0.85</v>
      </c>
    </row>
    <row x14ac:dyDescent="0.25" r="171" customHeight="1" ht="18">
      <c r="A171" s="50" t="s">
        <v>952</v>
      </c>
      <c r="B171" s="50" t="s">
        <v>1002</v>
      </c>
      <c r="C171" s="50" t="s">
        <v>935</v>
      </c>
      <c r="D171" s="50" t="s">
        <v>1085</v>
      </c>
      <c r="E171" s="50" t="s">
        <v>955</v>
      </c>
      <c r="F171" s="59">
        <v>3.71</v>
      </c>
      <c r="G171" s="45">
        <v>1</v>
      </c>
      <c r="H171" s="50" t="s">
        <v>1055</v>
      </c>
      <c r="I171" s="45">
        <v>4</v>
      </c>
      <c r="J171" s="52">
        <v>0.85</v>
      </c>
    </row>
    <row x14ac:dyDescent="0.25" r="172" customHeight="1" ht="18">
      <c r="A172" s="50" t="s">
        <v>952</v>
      </c>
      <c r="B172" s="50" t="s">
        <v>1002</v>
      </c>
      <c r="C172" s="50" t="s">
        <v>935</v>
      </c>
      <c r="D172" s="50" t="s">
        <v>1086</v>
      </c>
      <c r="E172" s="50" t="s">
        <v>955</v>
      </c>
      <c r="F172" s="59">
        <v>1.63</v>
      </c>
      <c r="G172" s="45">
        <v>1</v>
      </c>
      <c r="H172" s="50" t="s">
        <v>1055</v>
      </c>
      <c r="I172" s="45">
        <v>4</v>
      </c>
      <c r="J172" s="52">
        <v>0.85</v>
      </c>
    </row>
    <row x14ac:dyDescent="0.25" r="173" customHeight="1" ht="18">
      <c r="A173" s="50" t="s">
        <v>952</v>
      </c>
      <c r="B173" s="50" t="s">
        <v>1002</v>
      </c>
      <c r="C173" s="50" t="s">
        <v>936</v>
      </c>
      <c r="D173" s="50" t="s">
        <v>1087</v>
      </c>
      <c r="E173" s="50" t="s">
        <v>955</v>
      </c>
      <c r="F173" s="59">
        <v>29.8</v>
      </c>
      <c r="G173" s="45">
        <v>1</v>
      </c>
      <c r="H173" s="50" t="s">
        <v>1055</v>
      </c>
      <c r="I173" s="45">
        <v>4</v>
      </c>
      <c r="J173" s="52">
        <v>0.85</v>
      </c>
    </row>
    <row x14ac:dyDescent="0.25" r="174" customHeight="1" ht="18">
      <c r="A174" s="50" t="s">
        <v>952</v>
      </c>
      <c r="B174" s="50" t="s">
        <v>1002</v>
      </c>
      <c r="C174" s="50" t="s">
        <v>936</v>
      </c>
      <c r="D174" s="50" t="s">
        <v>1088</v>
      </c>
      <c r="E174" s="50" t="s">
        <v>1003</v>
      </c>
      <c r="F174" s="59">
        <v>15.3</v>
      </c>
      <c r="G174" s="45">
        <v>1</v>
      </c>
      <c r="H174" s="50" t="s">
        <v>1055</v>
      </c>
      <c r="I174" s="45">
        <v>4</v>
      </c>
      <c r="J174" s="52">
        <v>0.85</v>
      </c>
    </row>
    <row x14ac:dyDescent="0.25" r="175" customHeight="1" ht="18">
      <c r="A175" s="50" t="s">
        <v>952</v>
      </c>
      <c r="B175" s="50" t="s">
        <v>1002</v>
      </c>
      <c r="C175" s="50" t="s">
        <v>936</v>
      </c>
      <c r="D175" s="50" t="s">
        <v>1089</v>
      </c>
      <c r="E175" s="50" t="s">
        <v>955</v>
      </c>
      <c r="F175" s="59">
        <v>9.5</v>
      </c>
      <c r="G175" s="45">
        <v>1</v>
      </c>
      <c r="H175" s="50" t="s">
        <v>1055</v>
      </c>
      <c r="I175" s="45">
        <v>4</v>
      </c>
      <c r="J175" s="52">
        <v>0.85</v>
      </c>
    </row>
    <row x14ac:dyDescent="0.25" r="176" customHeight="1" ht="18">
      <c r="A176" s="50" t="s">
        <v>952</v>
      </c>
      <c r="B176" s="50" t="s">
        <v>1002</v>
      </c>
      <c r="C176" s="50" t="s">
        <v>936</v>
      </c>
      <c r="D176" s="50" t="s">
        <v>1090</v>
      </c>
      <c r="E176" s="50" t="s">
        <v>1003</v>
      </c>
      <c r="F176" s="59">
        <v>10.4</v>
      </c>
      <c r="G176" s="45">
        <v>1</v>
      </c>
      <c r="H176" s="50" t="s">
        <v>1055</v>
      </c>
      <c r="I176" s="45">
        <v>4</v>
      </c>
      <c r="J176" s="52">
        <v>0.85</v>
      </c>
    </row>
    <row x14ac:dyDescent="0.25" r="177" customHeight="1" ht="18">
      <c r="A177" s="50" t="s">
        <v>952</v>
      </c>
      <c r="B177" s="50" t="s">
        <v>1002</v>
      </c>
      <c r="C177" s="50" t="s">
        <v>936</v>
      </c>
      <c r="D177" s="50" t="s">
        <v>1091</v>
      </c>
      <c r="E177" s="50" t="s">
        <v>955</v>
      </c>
      <c r="F177" s="59">
        <v>14</v>
      </c>
      <c r="G177" s="45">
        <v>1</v>
      </c>
      <c r="H177" s="50" t="s">
        <v>1055</v>
      </c>
      <c r="I177" s="45">
        <v>4</v>
      </c>
      <c r="J177" s="52">
        <v>0.85</v>
      </c>
    </row>
    <row x14ac:dyDescent="0.25" r="178" customHeight="1" ht="18">
      <c r="A178" s="50" t="s">
        <v>952</v>
      </c>
      <c r="B178" s="50" t="s">
        <v>1002</v>
      </c>
      <c r="C178" s="50" t="s">
        <v>936</v>
      </c>
      <c r="D178" s="50" t="s">
        <v>1092</v>
      </c>
      <c r="E178" s="50" t="s">
        <v>1003</v>
      </c>
      <c r="F178" s="59">
        <v>20.6</v>
      </c>
      <c r="G178" s="45">
        <v>1</v>
      </c>
      <c r="H178" s="50" t="s">
        <v>1055</v>
      </c>
      <c r="I178" s="45">
        <v>4</v>
      </c>
      <c r="J178" s="52">
        <v>0.85</v>
      </c>
    </row>
    <row x14ac:dyDescent="0.25" r="179" customHeight="1" ht="18">
      <c r="A179" s="50" t="s">
        <v>952</v>
      </c>
      <c r="B179" s="50" t="s">
        <v>1002</v>
      </c>
      <c r="C179" s="50" t="s">
        <v>936</v>
      </c>
      <c r="D179" s="50" t="s">
        <v>1093</v>
      </c>
      <c r="E179" s="50" t="s">
        <v>955</v>
      </c>
      <c r="F179" s="59">
        <v>7</v>
      </c>
      <c r="G179" s="45">
        <v>1</v>
      </c>
      <c r="H179" s="50" t="s">
        <v>1055</v>
      </c>
      <c r="I179" s="45">
        <v>4</v>
      </c>
      <c r="J179" s="52">
        <v>0.85</v>
      </c>
    </row>
    <row x14ac:dyDescent="0.25" r="180" customHeight="1" ht="18">
      <c r="A180" s="50" t="s">
        <v>952</v>
      </c>
      <c r="B180" s="50" t="s">
        <v>1002</v>
      </c>
      <c r="C180" s="50" t="s">
        <v>936</v>
      </c>
      <c r="D180" s="50" t="s">
        <v>1094</v>
      </c>
      <c r="E180" s="50" t="s">
        <v>1003</v>
      </c>
      <c r="F180" s="59">
        <v>0</v>
      </c>
      <c r="G180" s="45">
        <v>1</v>
      </c>
      <c r="H180" s="50" t="s">
        <v>1055</v>
      </c>
      <c r="I180" s="45">
        <v>4</v>
      </c>
      <c r="J180" s="52">
        <v>0.85</v>
      </c>
    </row>
    <row x14ac:dyDescent="0.25" r="181" customHeight="1" ht="18">
      <c r="A181" s="50" t="s">
        <v>952</v>
      </c>
      <c r="B181" s="50" t="s">
        <v>1002</v>
      </c>
      <c r="C181" s="50" t="s">
        <v>936</v>
      </c>
      <c r="D181" s="50" t="s">
        <v>1095</v>
      </c>
      <c r="E181" s="50" t="s">
        <v>955</v>
      </c>
      <c r="F181" s="59">
        <v>0</v>
      </c>
      <c r="G181" s="45">
        <v>1</v>
      </c>
      <c r="H181" s="50" t="s">
        <v>1055</v>
      </c>
      <c r="I181" s="45">
        <v>4</v>
      </c>
      <c r="J181" s="52">
        <v>0.85</v>
      </c>
    </row>
    <row x14ac:dyDescent="0.25" r="182" customHeight="1" ht="18">
      <c r="A182" s="50" t="s">
        <v>952</v>
      </c>
      <c r="B182" s="50" t="s">
        <v>1002</v>
      </c>
      <c r="C182" s="50" t="s">
        <v>936</v>
      </c>
      <c r="D182" s="50" t="s">
        <v>1096</v>
      </c>
      <c r="E182" s="50" t="s">
        <v>1003</v>
      </c>
      <c r="F182" s="59">
        <v>4.6</v>
      </c>
      <c r="G182" s="45">
        <v>1</v>
      </c>
      <c r="H182" s="50" t="s">
        <v>1055</v>
      </c>
      <c r="I182" s="45">
        <v>4</v>
      </c>
      <c r="J182" s="52">
        <v>0.85</v>
      </c>
    </row>
    <row x14ac:dyDescent="0.25" r="183" customHeight="1" ht="18">
      <c r="A183" s="50" t="s">
        <v>952</v>
      </c>
      <c r="B183" s="50" t="s">
        <v>1002</v>
      </c>
      <c r="C183" s="50" t="s">
        <v>937</v>
      </c>
      <c r="D183" s="50" t="s">
        <v>1087</v>
      </c>
      <c r="E183" s="50" t="s">
        <v>955</v>
      </c>
      <c r="F183" s="59">
        <v>29.8</v>
      </c>
      <c r="G183" s="45">
        <v>1</v>
      </c>
      <c r="H183" s="50" t="s">
        <v>1055</v>
      </c>
      <c r="I183" s="45">
        <v>4</v>
      </c>
      <c r="J183" s="52">
        <v>0.85</v>
      </c>
    </row>
    <row x14ac:dyDescent="0.25" r="184" customHeight="1" ht="18">
      <c r="A184" s="50" t="s">
        <v>952</v>
      </c>
      <c r="B184" s="50" t="s">
        <v>1002</v>
      </c>
      <c r="C184" s="50" t="s">
        <v>937</v>
      </c>
      <c r="D184" s="50" t="s">
        <v>1088</v>
      </c>
      <c r="E184" s="50" t="s">
        <v>1003</v>
      </c>
      <c r="F184" s="59">
        <v>15.3</v>
      </c>
      <c r="G184" s="45">
        <v>1</v>
      </c>
      <c r="H184" s="50" t="s">
        <v>1055</v>
      </c>
      <c r="I184" s="45">
        <v>4</v>
      </c>
      <c r="J184" s="52">
        <v>0.85</v>
      </c>
    </row>
    <row x14ac:dyDescent="0.25" r="185" customHeight="1" ht="18">
      <c r="A185" s="50" t="s">
        <v>952</v>
      </c>
      <c r="B185" s="50" t="s">
        <v>1002</v>
      </c>
      <c r="C185" s="50" t="s">
        <v>937</v>
      </c>
      <c r="D185" s="50" t="s">
        <v>1089</v>
      </c>
      <c r="E185" s="50" t="s">
        <v>955</v>
      </c>
      <c r="F185" s="59">
        <v>9.5</v>
      </c>
      <c r="G185" s="45">
        <v>1</v>
      </c>
      <c r="H185" s="50" t="s">
        <v>1055</v>
      </c>
      <c r="I185" s="45">
        <v>4</v>
      </c>
      <c r="J185" s="52">
        <v>0.85</v>
      </c>
    </row>
    <row x14ac:dyDescent="0.25" r="186" customHeight="1" ht="18">
      <c r="A186" s="50" t="s">
        <v>952</v>
      </c>
      <c r="B186" s="50" t="s">
        <v>1002</v>
      </c>
      <c r="C186" s="50" t="s">
        <v>937</v>
      </c>
      <c r="D186" s="50" t="s">
        <v>1090</v>
      </c>
      <c r="E186" s="50" t="s">
        <v>1003</v>
      </c>
      <c r="F186" s="59">
        <v>10.4</v>
      </c>
      <c r="G186" s="45">
        <v>1</v>
      </c>
      <c r="H186" s="50" t="s">
        <v>1055</v>
      </c>
      <c r="I186" s="45">
        <v>4</v>
      </c>
      <c r="J186" s="52">
        <v>0.85</v>
      </c>
    </row>
    <row x14ac:dyDescent="0.25" r="187" customHeight="1" ht="18">
      <c r="A187" s="50" t="s">
        <v>952</v>
      </c>
      <c r="B187" s="50" t="s">
        <v>1002</v>
      </c>
      <c r="C187" s="50" t="s">
        <v>937</v>
      </c>
      <c r="D187" s="50" t="s">
        <v>1091</v>
      </c>
      <c r="E187" s="50" t="s">
        <v>955</v>
      </c>
      <c r="F187" s="59">
        <v>14</v>
      </c>
      <c r="G187" s="45">
        <v>1</v>
      </c>
      <c r="H187" s="50" t="s">
        <v>1055</v>
      </c>
      <c r="I187" s="45">
        <v>4</v>
      </c>
      <c r="J187" s="52">
        <v>0.85</v>
      </c>
    </row>
    <row x14ac:dyDescent="0.25" r="188" customHeight="1" ht="18">
      <c r="A188" s="50" t="s">
        <v>952</v>
      </c>
      <c r="B188" s="50" t="s">
        <v>1002</v>
      </c>
      <c r="C188" s="50" t="s">
        <v>937</v>
      </c>
      <c r="D188" s="50" t="s">
        <v>1092</v>
      </c>
      <c r="E188" s="50" t="s">
        <v>1003</v>
      </c>
      <c r="F188" s="59">
        <v>20.6</v>
      </c>
      <c r="G188" s="45">
        <v>1</v>
      </c>
      <c r="H188" s="50" t="s">
        <v>1055</v>
      </c>
      <c r="I188" s="45">
        <v>4</v>
      </c>
      <c r="J188" s="52">
        <v>0.85</v>
      </c>
    </row>
    <row x14ac:dyDescent="0.25" r="189" customHeight="1" ht="18">
      <c r="A189" s="50" t="s">
        <v>952</v>
      </c>
      <c r="B189" s="50" t="s">
        <v>1002</v>
      </c>
      <c r="C189" s="50" t="s">
        <v>937</v>
      </c>
      <c r="D189" s="50" t="s">
        <v>1097</v>
      </c>
      <c r="E189" s="50" t="s">
        <v>955</v>
      </c>
      <c r="F189" s="59">
        <v>12.4</v>
      </c>
      <c r="G189" s="45">
        <v>1</v>
      </c>
      <c r="H189" s="50" t="s">
        <v>1055</v>
      </c>
      <c r="I189" s="45">
        <v>4</v>
      </c>
      <c r="J189" s="52">
        <v>0.85</v>
      </c>
    </row>
    <row x14ac:dyDescent="0.25" r="190" customHeight="1" ht="18">
      <c r="A190" s="50" t="s">
        <v>952</v>
      </c>
      <c r="B190" s="50" t="s">
        <v>1002</v>
      </c>
      <c r="C190" s="50" t="s">
        <v>937</v>
      </c>
      <c r="D190" s="50" t="s">
        <v>1098</v>
      </c>
      <c r="E190" s="50" t="s">
        <v>1003</v>
      </c>
      <c r="F190" s="59">
        <v>0</v>
      </c>
      <c r="G190" s="45">
        <v>1</v>
      </c>
      <c r="H190" s="50" t="s">
        <v>1055</v>
      </c>
      <c r="I190" s="45">
        <v>4</v>
      </c>
      <c r="J190" s="52">
        <v>0.85</v>
      </c>
    </row>
    <row x14ac:dyDescent="0.25" r="191" customHeight="1" ht="18">
      <c r="A191" s="50" t="s">
        <v>952</v>
      </c>
      <c r="B191" s="50" t="s">
        <v>1002</v>
      </c>
      <c r="C191" s="50" t="s">
        <v>937</v>
      </c>
      <c r="D191" s="50" t="s">
        <v>1095</v>
      </c>
      <c r="E191" s="50" t="s">
        <v>955</v>
      </c>
      <c r="F191" s="59">
        <v>0</v>
      </c>
      <c r="G191" s="45">
        <v>1</v>
      </c>
      <c r="H191" s="50" t="s">
        <v>1055</v>
      </c>
      <c r="I191" s="45">
        <v>4</v>
      </c>
      <c r="J191" s="52">
        <v>0.85</v>
      </c>
    </row>
    <row x14ac:dyDescent="0.25" r="192" customHeight="1" ht="18">
      <c r="A192" s="50" t="s">
        <v>952</v>
      </c>
      <c r="B192" s="50" t="s">
        <v>1002</v>
      </c>
      <c r="C192" s="50" t="s">
        <v>937</v>
      </c>
      <c r="D192" s="50" t="s">
        <v>1096</v>
      </c>
      <c r="E192" s="50" t="s">
        <v>1003</v>
      </c>
      <c r="F192" s="59">
        <v>4.6</v>
      </c>
      <c r="G192" s="45">
        <v>1</v>
      </c>
      <c r="H192" s="50" t="s">
        <v>1055</v>
      </c>
      <c r="I192" s="45">
        <v>4</v>
      </c>
      <c r="J192" s="52">
        <v>0.85</v>
      </c>
    </row>
    <row x14ac:dyDescent="0.25" r="193" customHeight="1" ht="18">
      <c r="A193" s="50" t="s">
        <v>962</v>
      </c>
      <c r="B193" s="50" t="s">
        <v>1002</v>
      </c>
      <c r="C193" s="50" t="s">
        <v>928</v>
      </c>
      <c r="D193" s="50" t="s">
        <v>1012</v>
      </c>
      <c r="E193" s="50" t="s">
        <v>955</v>
      </c>
      <c r="F193" s="51">
        <v>5.814</v>
      </c>
      <c r="G193" s="45">
        <v>1</v>
      </c>
      <c r="H193" s="50" t="s">
        <v>1055</v>
      </c>
      <c r="I193" s="45">
        <v>4</v>
      </c>
      <c r="J193" s="52">
        <v>0.85</v>
      </c>
    </row>
    <row x14ac:dyDescent="0.25" r="194" customHeight="1" ht="18">
      <c r="A194" s="50" t="s">
        <v>962</v>
      </c>
      <c r="B194" s="50" t="s">
        <v>1002</v>
      </c>
      <c r="C194" s="50" t="s">
        <v>927</v>
      </c>
      <c r="D194" s="50" t="s">
        <v>927</v>
      </c>
      <c r="E194" s="50" t="s">
        <v>955</v>
      </c>
      <c r="F194" s="51">
        <v>21.3</v>
      </c>
      <c r="G194" s="45">
        <v>1</v>
      </c>
      <c r="H194" s="50" t="s">
        <v>1055</v>
      </c>
      <c r="I194" s="45">
        <v>4</v>
      </c>
      <c r="J194" s="52">
        <v>0.85</v>
      </c>
    </row>
    <row x14ac:dyDescent="0.25" r="195" customHeight="1" ht="18">
      <c r="A195" s="50" t="s">
        <v>962</v>
      </c>
      <c r="B195" s="50" t="s">
        <v>1002</v>
      </c>
      <c r="C195" s="50" t="s">
        <v>927</v>
      </c>
      <c r="D195" s="50" t="s">
        <v>927</v>
      </c>
      <c r="E195" s="50" t="s">
        <v>1003</v>
      </c>
      <c r="F195" s="45">
        <v>32</v>
      </c>
      <c r="G195" s="45">
        <v>1</v>
      </c>
      <c r="H195" s="50" t="s">
        <v>1055</v>
      </c>
      <c r="I195" s="45">
        <v>4</v>
      </c>
      <c r="J195" s="52">
        <v>0.85</v>
      </c>
    </row>
    <row x14ac:dyDescent="0.25" r="196" customHeight="1" ht="18">
      <c r="A196" s="50" t="s">
        <v>962</v>
      </c>
      <c r="B196" s="50" t="s">
        <v>1002</v>
      </c>
      <c r="C196" s="50" t="s">
        <v>938</v>
      </c>
      <c r="D196" s="50" t="s">
        <v>938</v>
      </c>
      <c r="E196" s="50" t="s">
        <v>955</v>
      </c>
      <c r="F196" s="59">
        <v>68.85</v>
      </c>
      <c r="G196" s="45">
        <v>1</v>
      </c>
      <c r="H196" s="50" t="s">
        <v>1055</v>
      </c>
      <c r="I196" s="45">
        <v>4</v>
      </c>
      <c r="J196" s="52">
        <v>0.85</v>
      </c>
    </row>
    <row x14ac:dyDescent="0.25" r="197" customHeight="1" ht="18">
      <c r="A197" s="50" t="s">
        <v>962</v>
      </c>
      <c r="B197" s="50" t="s">
        <v>1002</v>
      </c>
      <c r="C197" s="50" t="s">
        <v>939</v>
      </c>
      <c r="D197" s="50" t="s">
        <v>939</v>
      </c>
      <c r="E197" s="50" t="s">
        <v>955</v>
      </c>
      <c r="F197" s="59">
        <v>100</v>
      </c>
      <c r="G197" s="45">
        <v>1</v>
      </c>
      <c r="H197" s="50" t="s">
        <v>1055</v>
      </c>
      <c r="I197" s="45">
        <v>4</v>
      </c>
      <c r="J197" s="52">
        <v>0.85</v>
      </c>
    </row>
    <row x14ac:dyDescent="0.25" r="198" customHeight="1" ht="18">
      <c r="A198" s="50" t="s">
        <v>1099</v>
      </c>
      <c r="B198" s="50" t="s">
        <v>1002</v>
      </c>
      <c r="C198" s="50" t="s">
        <v>940</v>
      </c>
      <c r="D198" s="50" t="s">
        <v>1049</v>
      </c>
      <c r="E198" s="50" t="s">
        <v>955</v>
      </c>
      <c r="F198" s="59">
        <v>29.8</v>
      </c>
      <c r="G198" s="45">
        <v>1</v>
      </c>
      <c r="H198" s="50" t="s">
        <v>1055</v>
      </c>
      <c r="I198" s="45">
        <v>4</v>
      </c>
      <c r="J198" s="52">
        <v>0.85</v>
      </c>
    </row>
    <row x14ac:dyDescent="0.25" r="199" customHeight="1" ht="18">
      <c r="A199" s="50" t="s">
        <v>1099</v>
      </c>
      <c r="B199" s="50" t="s">
        <v>1002</v>
      </c>
      <c r="C199" s="50" t="s">
        <v>940</v>
      </c>
      <c r="D199" s="50" t="s">
        <v>1100</v>
      </c>
      <c r="E199" s="50" t="s">
        <v>1003</v>
      </c>
      <c r="F199" s="59">
        <v>21.4</v>
      </c>
      <c r="G199" s="45">
        <v>1</v>
      </c>
      <c r="H199" s="50" t="s">
        <v>1055</v>
      </c>
      <c r="I199" s="45">
        <v>4</v>
      </c>
      <c r="J199" s="52">
        <v>0.85</v>
      </c>
    </row>
    <row x14ac:dyDescent="0.25" r="200" customHeight="1" ht="18">
      <c r="A200" s="50" t="s">
        <v>1099</v>
      </c>
      <c r="B200" s="50" t="s">
        <v>1002</v>
      </c>
      <c r="C200" s="50" t="s">
        <v>940</v>
      </c>
      <c r="D200" s="50" t="s">
        <v>1050</v>
      </c>
      <c r="E200" s="50" t="s">
        <v>955</v>
      </c>
      <c r="F200" s="59">
        <v>3</v>
      </c>
      <c r="G200" s="45">
        <v>1</v>
      </c>
      <c r="H200" s="50" t="s">
        <v>1055</v>
      </c>
      <c r="I200" s="45">
        <v>4</v>
      </c>
      <c r="J200" s="52">
        <v>0.85</v>
      </c>
    </row>
    <row x14ac:dyDescent="0.25" r="201" customHeight="1" ht="18">
      <c r="A201" s="50" t="s">
        <v>952</v>
      </c>
      <c r="B201" s="50" t="s">
        <v>1002</v>
      </c>
      <c r="C201" s="50" t="s">
        <v>941</v>
      </c>
      <c r="D201" s="50" t="s">
        <v>941</v>
      </c>
      <c r="E201" s="50" t="s">
        <v>955</v>
      </c>
      <c r="F201" s="59">
        <v>53.7</v>
      </c>
      <c r="G201" s="45">
        <v>1</v>
      </c>
      <c r="H201" s="50" t="s">
        <v>1055</v>
      </c>
      <c r="I201" s="45">
        <v>4</v>
      </c>
      <c r="J201" s="52">
        <v>0.85</v>
      </c>
    </row>
    <row x14ac:dyDescent="0.25" r="202" customHeight="1" ht="18">
      <c r="A202" s="50" t="s">
        <v>1099</v>
      </c>
      <c r="B202" s="50" t="s">
        <v>1002</v>
      </c>
      <c r="C202" s="50" t="s">
        <v>942</v>
      </c>
      <c r="D202" s="50" t="s">
        <v>1049</v>
      </c>
      <c r="E202" s="50" t="s">
        <v>955</v>
      </c>
      <c r="F202" s="51">
        <v>44.5</v>
      </c>
      <c r="G202" s="45">
        <v>1</v>
      </c>
      <c r="H202" s="50" t="s">
        <v>1055</v>
      </c>
      <c r="I202" s="45">
        <v>4</v>
      </c>
      <c r="J202" s="52">
        <v>0.85</v>
      </c>
    </row>
    <row x14ac:dyDescent="0.25" r="203" customHeight="1" ht="18">
      <c r="A203" s="50" t="s">
        <v>1099</v>
      </c>
      <c r="B203" s="50" t="s">
        <v>1002</v>
      </c>
      <c r="C203" s="50" t="s">
        <v>942</v>
      </c>
      <c r="D203" s="50" t="s">
        <v>1100</v>
      </c>
      <c r="E203" s="50" t="s">
        <v>1003</v>
      </c>
      <c r="F203" s="51">
        <v>31.2</v>
      </c>
      <c r="G203" s="45">
        <v>1</v>
      </c>
      <c r="H203" s="50" t="s">
        <v>1055</v>
      </c>
      <c r="I203" s="45">
        <v>4</v>
      </c>
      <c r="J203" s="52">
        <v>0.85</v>
      </c>
    </row>
    <row x14ac:dyDescent="0.25" r="204" customHeight="1" ht="18">
      <c r="A204" s="50" t="s">
        <v>1099</v>
      </c>
      <c r="B204" s="50" t="s">
        <v>1002</v>
      </c>
      <c r="C204" s="50" t="s">
        <v>942</v>
      </c>
      <c r="D204" s="50" t="s">
        <v>1050</v>
      </c>
      <c r="E204" s="50" t="s">
        <v>955</v>
      </c>
      <c r="F204" s="87">
        <v>3</v>
      </c>
      <c r="G204" s="45">
        <v>1</v>
      </c>
      <c r="H204" s="50" t="s">
        <v>1055</v>
      </c>
      <c r="I204" s="45">
        <v>4</v>
      </c>
      <c r="J204" s="52">
        <v>0.85</v>
      </c>
    </row>
    <row x14ac:dyDescent="0.25" r="205" customHeight="1" ht="18">
      <c r="A205" s="50" t="s">
        <v>952</v>
      </c>
      <c r="B205" s="50" t="s">
        <v>1002</v>
      </c>
      <c r="C205" s="50" t="s">
        <v>1032</v>
      </c>
      <c r="D205" s="50" t="s">
        <v>1049</v>
      </c>
      <c r="E205" s="50" t="s">
        <v>955</v>
      </c>
      <c r="F205" s="87">
        <v>39.8</v>
      </c>
      <c r="G205" s="45">
        <v>1</v>
      </c>
      <c r="H205" s="50" t="s">
        <v>1055</v>
      </c>
      <c r="I205" s="45">
        <v>4</v>
      </c>
      <c r="J205" s="52">
        <v>0.85</v>
      </c>
    </row>
    <row x14ac:dyDescent="0.25" r="206" customHeight="1" ht="18">
      <c r="A206" s="50" t="s">
        <v>952</v>
      </c>
      <c r="B206" s="50" t="s">
        <v>1002</v>
      </c>
      <c r="C206" s="50" t="s">
        <v>1032</v>
      </c>
      <c r="D206" s="50" t="s">
        <v>1100</v>
      </c>
      <c r="E206" s="50" t="s">
        <v>1003</v>
      </c>
      <c r="F206" s="87">
        <v>31.2</v>
      </c>
      <c r="G206" s="45">
        <v>1</v>
      </c>
      <c r="H206" s="50" t="s">
        <v>1055</v>
      </c>
      <c r="I206" s="45">
        <v>4</v>
      </c>
      <c r="J206" s="52">
        <v>0.85</v>
      </c>
    </row>
    <row x14ac:dyDescent="0.25" r="207" customHeight="1" ht="18">
      <c r="A207" s="50" t="s">
        <v>952</v>
      </c>
      <c r="B207" s="50" t="s">
        <v>1002</v>
      </c>
      <c r="C207" s="50" t="s">
        <v>1032</v>
      </c>
      <c r="D207" s="50" t="s">
        <v>1050</v>
      </c>
      <c r="E207" s="50" t="s">
        <v>955</v>
      </c>
      <c r="F207" s="87">
        <v>6</v>
      </c>
      <c r="G207" s="45">
        <v>1</v>
      </c>
      <c r="H207" s="50" t="s">
        <v>1055</v>
      </c>
      <c r="I207" s="45">
        <v>4</v>
      </c>
      <c r="J207" s="52">
        <v>0.85</v>
      </c>
    </row>
    <row x14ac:dyDescent="0.25" r="208" customHeight="1" ht="18">
      <c r="A208" s="50" t="s">
        <v>952</v>
      </c>
      <c r="B208" s="50" t="s">
        <v>1002</v>
      </c>
      <c r="C208" s="50" t="s">
        <v>1032</v>
      </c>
      <c r="D208" s="50" t="s">
        <v>1053</v>
      </c>
      <c r="E208" s="50" t="s">
        <v>955</v>
      </c>
      <c r="F208" s="87">
        <v>3</v>
      </c>
      <c r="G208" s="45">
        <v>1</v>
      </c>
      <c r="H208" s="50" t="s">
        <v>1055</v>
      </c>
      <c r="I208" s="45">
        <v>4</v>
      </c>
      <c r="J208" s="52">
        <v>0.85</v>
      </c>
    </row>
    <row x14ac:dyDescent="0.25" r="209" customHeight="1" ht="18">
      <c r="A209" s="50" t="s">
        <v>952</v>
      </c>
      <c r="B209" s="50" t="s">
        <v>1002</v>
      </c>
      <c r="C209" s="50" t="s">
        <v>1033</v>
      </c>
      <c r="D209" s="50" t="s">
        <v>1049</v>
      </c>
      <c r="E209" s="50" t="s">
        <v>955</v>
      </c>
      <c r="F209" s="87">
        <v>29.8</v>
      </c>
      <c r="G209" s="45">
        <v>1</v>
      </c>
      <c r="H209" s="50" t="s">
        <v>1055</v>
      </c>
      <c r="I209" s="45">
        <v>4</v>
      </c>
      <c r="J209" s="52">
        <v>0.85</v>
      </c>
    </row>
    <row x14ac:dyDescent="0.25" r="210" customHeight="1" ht="18">
      <c r="A210" s="50" t="s">
        <v>952</v>
      </c>
      <c r="B210" s="50" t="s">
        <v>1002</v>
      </c>
      <c r="C210" s="50" t="s">
        <v>1033</v>
      </c>
      <c r="D210" s="50" t="s">
        <v>1100</v>
      </c>
      <c r="E210" s="50" t="s">
        <v>1003</v>
      </c>
      <c r="F210" s="87">
        <v>21.4</v>
      </c>
      <c r="G210" s="45">
        <v>1</v>
      </c>
      <c r="H210" s="50" t="s">
        <v>1055</v>
      </c>
      <c r="I210" s="45">
        <v>4</v>
      </c>
      <c r="J210" s="52">
        <v>0.85</v>
      </c>
    </row>
    <row x14ac:dyDescent="0.25" r="211" customHeight="1" ht="18">
      <c r="A211" s="50" t="s">
        <v>952</v>
      </c>
      <c r="B211" s="50" t="s">
        <v>1002</v>
      </c>
      <c r="C211" s="50" t="s">
        <v>1033</v>
      </c>
      <c r="D211" s="50" t="s">
        <v>1050</v>
      </c>
      <c r="E211" s="50" t="s">
        <v>955</v>
      </c>
      <c r="F211" s="87">
        <v>3</v>
      </c>
      <c r="G211" s="45">
        <v>1</v>
      </c>
      <c r="H211" s="50" t="s">
        <v>1055</v>
      </c>
      <c r="I211" s="45">
        <v>4</v>
      </c>
      <c r="J211" s="52">
        <v>0.85</v>
      </c>
    </row>
    <row x14ac:dyDescent="0.25" r="212" customHeight="1" ht="18">
      <c r="A212" s="50" t="s">
        <v>952</v>
      </c>
      <c r="B212" s="50" t="s">
        <v>1002</v>
      </c>
      <c r="C212" s="50" t="s">
        <v>1033</v>
      </c>
      <c r="D212" s="50" t="s">
        <v>1053</v>
      </c>
      <c r="E212" s="50" t="s">
        <v>955</v>
      </c>
      <c r="F212" s="87">
        <v>0</v>
      </c>
      <c r="G212" s="45">
        <v>1</v>
      </c>
      <c r="H212" s="50" t="s">
        <v>1055</v>
      </c>
      <c r="I212" s="45">
        <v>4</v>
      </c>
      <c r="J212" s="52">
        <v>0.85</v>
      </c>
    </row>
    <row x14ac:dyDescent="0.25" r="213" customHeight="1" ht="18">
      <c r="A213" s="50" t="s">
        <v>962</v>
      </c>
      <c r="B213" s="50" t="s">
        <v>967</v>
      </c>
      <c r="C213" s="50" t="s">
        <v>900</v>
      </c>
      <c r="D213" s="50" t="s">
        <v>968</v>
      </c>
      <c r="E213" s="50" t="s">
        <v>955</v>
      </c>
      <c r="F213" s="51">
        <v>75.9</v>
      </c>
      <c r="G213" s="45">
        <v>1</v>
      </c>
      <c r="H213" s="50" t="s">
        <v>1101</v>
      </c>
      <c r="I213" s="45">
        <v>1</v>
      </c>
      <c r="J213" s="52">
        <v>0.85</v>
      </c>
    </row>
    <row x14ac:dyDescent="0.25" r="214" customHeight="1" ht="18">
      <c r="A214" s="50" t="s">
        <v>962</v>
      </c>
      <c r="B214" s="50" t="s">
        <v>967</v>
      </c>
      <c r="C214" s="50" t="s">
        <v>901</v>
      </c>
      <c r="D214" s="50" t="s">
        <v>969</v>
      </c>
      <c r="E214" s="50" t="s">
        <v>955</v>
      </c>
      <c r="F214" s="45">
        <v>74</v>
      </c>
      <c r="G214" s="45">
        <v>1</v>
      </c>
      <c r="H214" s="50" t="s">
        <v>1101</v>
      </c>
      <c r="I214" s="45">
        <v>1</v>
      </c>
      <c r="J214" s="52">
        <v>0.85</v>
      </c>
    </row>
    <row x14ac:dyDescent="0.25" r="215" customHeight="1" ht="18">
      <c r="A215" s="50" t="s">
        <v>962</v>
      </c>
      <c r="B215" s="50" t="s">
        <v>967</v>
      </c>
      <c r="C215" s="50" t="s">
        <v>902</v>
      </c>
      <c r="D215" s="50" t="s">
        <v>970</v>
      </c>
      <c r="E215" s="50" t="s">
        <v>955</v>
      </c>
      <c r="F215" s="45">
        <v>74</v>
      </c>
      <c r="G215" s="45">
        <v>1</v>
      </c>
      <c r="H215" s="50" t="s">
        <v>1101</v>
      </c>
      <c r="I215" s="45">
        <v>1</v>
      </c>
      <c r="J215" s="52">
        <v>0.85</v>
      </c>
    </row>
    <row x14ac:dyDescent="0.25" r="216" customHeight="1" ht="18">
      <c r="A216" s="50" t="s">
        <v>962</v>
      </c>
      <c r="B216" s="50" t="s">
        <v>967</v>
      </c>
      <c r="C216" s="50" t="s">
        <v>903</v>
      </c>
      <c r="D216" s="50" t="s">
        <v>971</v>
      </c>
      <c r="E216" s="50" t="s">
        <v>955</v>
      </c>
      <c r="F216" s="51">
        <v>76.3</v>
      </c>
      <c r="G216" s="45">
        <v>1</v>
      </c>
      <c r="H216" s="50" t="s">
        <v>1101</v>
      </c>
      <c r="I216" s="45">
        <v>1</v>
      </c>
      <c r="J216" s="52">
        <v>0.85</v>
      </c>
    </row>
    <row x14ac:dyDescent="0.25" r="217" customHeight="1" ht="18">
      <c r="A217" s="50" t="s">
        <v>962</v>
      </c>
      <c r="B217" s="50" t="s">
        <v>967</v>
      </c>
      <c r="C217" s="50" t="s">
        <v>904</v>
      </c>
      <c r="D217" s="50" t="s">
        <v>972</v>
      </c>
      <c r="E217" s="50" t="s">
        <v>955</v>
      </c>
      <c r="F217" s="51">
        <v>75.9</v>
      </c>
      <c r="G217" s="45">
        <v>1</v>
      </c>
      <c r="H217" s="50" t="s">
        <v>1101</v>
      </c>
      <c r="I217" s="45">
        <v>1</v>
      </c>
      <c r="J217" s="52">
        <v>0.85</v>
      </c>
    </row>
    <row x14ac:dyDescent="0.25" r="218" customHeight="1" ht="18">
      <c r="A218" s="50" t="s">
        <v>962</v>
      </c>
      <c r="B218" s="50" t="s">
        <v>967</v>
      </c>
      <c r="C218" s="50" t="s">
        <v>905</v>
      </c>
      <c r="D218" s="50" t="s">
        <v>973</v>
      </c>
      <c r="E218" s="50" t="s">
        <v>955</v>
      </c>
      <c r="F218" s="45">
        <v>87</v>
      </c>
      <c r="G218" s="45">
        <v>1</v>
      </c>
      <c r="H218" s="50" t="s">
        <v>1101</v>
      </c>
      <c r="I218" s="45">
        <v>1</v>
      </c>
      <c r="J218" s="52">
        <v>0.85</v>
      </c>
    </row>
    <row x14ac:dyDescent="0.25" r="219" customHeight="1" ht="18">
      <c r="A219" s="50" t="s">
        <v>962</v>
      </c>
      <c r="B219" s="50" t="s">
        <v>967</v>
      </c>
      <c r="C219" s="50" t="s">
        <v>906</v>
      </c>
      <c r="D219" s="50" t="s">
        <v>974</v>
      </c>
      <c r="E219" s="50" t="s">
        <v>955</v>
      </c>
      <c r="F219" s="45">
        <v>36</v>
      </c>
      <c r="G219" s="45">
        <v>1</v>
      </c>
      <c r="H219" s="50" t="s">
        <v>1101</v>
      </c>
      <c r="I219" s="45">
        <v>1</v>
      </c>
      <c r="J219" s="52">
        <v>0.85</v>
      </c>
    </row>
    <row x14ac:dyDescent="0.25" r="220" customHeight="1" ht="18">
      <c r="A220" s="50" t="s">
        <v>962</v>
      </c>
      <c r="B220" s="50" t="s">
        <v>967</v>
      </c>
      <c r="C220" s="50" t="s">
        <v>907</v>
      </c>
      <c r="D220" s="50" t="s">
        <v>907</v>
      </c>
      <c r="E220" s="50" t="s">
        <v>955</v>
      </c>
      <c r="F220" s="51">
        <v>75.9</v>
      </c>
      <c r="G220" s="45">
        <v>1</v>
      </c>
      <c r="H220" s="50" t="s">
        <v>1101</v>
      </c>
      <c r="I220" s="45">
        <v>1</v>
      </c>
      <c r="J220" s="52">
        <v>0.85</v>
      </c>
    </row>
    <row x14ac:dyDescent="0.25" r="221" customHeight="1" ht="18">
      <c r="A221" s="50" t="s">
        <v>962</v>
      </c>
      <c r="B221" s="50" t="s">
        <v>967</v>
      </c>
      <c r="C221" s="50" t="s">
        <v>908</v>
      </c>
      <c r="D221" s="50" t="s">
        <v>975</v>
      </c>
      <c r="E221" s="50" t="s">
        <v>955</v>
      </c>
      <c r="F221" s="51">
        <v>75.9</v>
      </c>
      <c r="G221" s="45">
        <v>1</v>
      </c>
      <c r="H221" s="50" t="s">
        <v>1101</v>
      </c>
      <c r="I221" s="45">
        <v>1</v>
      </c>
      <c r="J221" s="52">
        <v>0.85</v>
      </c>
    </row>
    <row x14ac:dyDescent="0.25" r="222" customHeight="1" ht="18">
      <c r="A222" s="50" t="s">
        <v>962</v>
      </c>
      <c r="B222" s="50" t="s">
        <v>967</v>
      </c>
      <c r="C222" s="50" t="s">
        <v>919</v>
      </c>
      <c r="D222" s="50" t="s">
        <v>965</v>
      </c>
      <c r="E222" s="50" t="s">
        <v>955</v>
      </c>
      <c r="F222" s="51">
        <v>13.5</v>
      </c>
      <c r="G222" s="45">
        <v>1</v>
      </c>
      <c r="H222" s="50" t="s">
        <v>1101</v>
      </c>
      <c r="I222" s="45">
        <v>1</v>
      </c>
      <c r="J222" s="52">
        <v>0.85</v>
      </c>
    </row>
    <row x14ac:dyDescent="0.25" r="223" customHeight="1" ht="18">
      <c r="A223" s="50" t="s">
        <v>962</v>
      </c>
      <c r="B223" s="50" t="s">
        <v>967</v>
      </c>
      <c r="C223" s="86" t="s">
        <v>920</v>
      </c>
      <c r="D223" s="86" t="s">
        <v>920</v>
      </c>
      <c r="E223" s="50" t="s">
        <v>955</v>
      </c>
      <c r="F223" s="51">
        <v>13.5</v>
      </c>
      <c r="G223" s="45">
        <v>1</v>
      </c>
      <c r="H223" s="50" t="s">
        <v>1101</v>
      </c>
      <c r="I223" s="45">
        <v>1</v>
      </c>
      <c r="J223" s="52">
        <v>0.85</v>
      </c>
    </row>
    <row x14ac:dyDescent="0.25" r="224" customHeight="1" ht="18">
      <c r="A224" s="50" t="s">
        <v>962</v>
      </c>
      <c r="B224" s="50" t="s">
        <v>967</v>
      </c>
      <c r="C224" s="89" t="s">
        <v>910</v>
      </c>
      <c r="D224" s="89" t="s">
        <v>964</v>
      </c>
      <c r="E224" s="89" t="s">
        <v>955</v>
      </c>
      <c r="F224" s="90">
        <v>15.69</v>
      </c>
      <c r="G224" s="91">
        <v>1</v>
      </c>
      <c r="H224" s="89" t="s">
        <v>1101</v>
      </c>
      <c r="I224" s="45">
        <v>2</v>
      </c>
      <c r="J224" s="52">
        <v>0.85</v>
      </c>
    </row>
    <row x14ac:dyDescent="0.25" r="225" customHeight="1" ht="18">
      <c r="A225" s="50" t="s">
        <v>962</v>
      </c>
      <c r="B225" s="50" t="s">
        <v>967</v>
      </c>
      <c r="C225" s="92" t="s">
        <v>912</v>
      </c>
      <c r="D225" s="92" t="s">
        <v>912</v>
      </c>
      <c r="E225" s="92" t="s">
        <v>955</v>
      </c>
      <c r="F225" s="64">
        <v>9.76</v>
      </c>
      <c r="G225" s="65">
        <v>1</v>
      </c>
      <c r="H225" s="92" t="s">
        <v>1101</v>
      </c>
      <c r="I225" s="45">
        <v>1</v>
      </c>
      <c r="J225" s="52">
        <v>0.85</v>
      </c>
    </row>
    <row x14ac:dyDescent="0.25" r="226" customHeight="1" ht="18">
      <c r="A226" s="50" t="s">
        <v>962</v>
      </c>
      <c r="B226" s="50" t="s">
        <v>967</v>
      </c>
      <c r="C226" s="92" t="s">
        <v>914</v>
      </c>
      <c r="D226" s="92" t="s">
        <v>914</v>
      </c>
      <c r="E226" s="92" t="s">
        <v>955</v>
      </c>
      <c r="F226" s="64">
        <v>9.76</v>
      </c>
      <c r="G226" s="65">
        <v>1</v>
      </c>
      <c r="H226" s="92" t="s">
        <v>1101</v>
      </c>
      <c r="I226" s="45">
        <v>1</v>
      </c>
      <c r="J226" s="52">
        <v>0.85</v>
      </c>
    </row>
    <row x14ac:dyDescent="0.25" r="227" customHeight="1" ht="18">
      <c r="A227" s="50" t="s">
        <v>962</v>
      </c>
      <c r="B227" s="50" t="s">
        <v>967</v>
      </c>
      <c r="C227" s="92" t="s">
        <v>913</v>
      </c>
      <c r="D227" s="92" t="s">
        <v>913</v>
      </c>
      <c r="E227" s="92" t="s">
        <v>955</v>
      </c>
      <c r="F227" s="64">
        <v>9.76</v>
      </c>
      <c r="G227" s="65">
        <v>1</v>
      </c>
      <c r="H227" s="92" t="s">
        <v>1101</v>
      </c>
      <c r="I227" s="45">
        <v>1</v>
      </c>
      <c r="J227" s="52">
        <v>0.85</v>
      </c>
    </row>
    <row x14ac:dyDescent="0.25" r="228" customHeight="1" ht="18">
      <c r="A228" s="50" t="s">
        <v>962</v>
      </c>
      <c r="B228" s="50" t="s">
        <v>967</v>
      </c>
      <c r="C228" s="92" t="s">
        <v>911</v>
      </c>
      <c r="D228" s="92" t="s">
        <v>911</v>
      </c>
      <c r="E228" s="92" t="s">
        <v>955</v>
      </c>
      <c r="F228" s="64">
        <v>9.76</v>
      </c>
      <c r="G228" s="65">
        <v>1</v>
      </c>
      <c r="H228" s="92" t="s">
        <v>1101</v>
      </c>
      <c r="I228" s="45">
        <v>1</v>
      </c>
      <c r="J228" s="52">
        <v>0.85</v>
      </c>
    </row>
    <row x14ac:dyDescent="0.25" r="229" customHeight="1" ht="18">
      <c r="A229" s="50" t="s">
        <v>952</v>
      </c>
      <c r="B229" s="50" t="s">
        <v>967</v>
      </c>
      <c r="C229" s="50" t="s">
        <v>921</v>
      </c>
      <c r="D229" s="50" t="s">
        <v>954</v>
      </c>
      <c r="E229" s="50" t="s">
        <v>955</v>
      </c>
      <c r="F229" s="93">
        <v>40.0033736349454</v>
      </c>
      <c r="G229" s="45">
        <v>1</v>
      </c>
      <c r="H229" s="50" t="s">
        <v>1102</v>
      </c>
      <c r="I229" s="45">
        <v>1</v>
      </c>
      <c r="J229" s="52">
        <v>0.85</v>
      </c>
    </row>
    <row x14ac:dyDescent="0.25" r="230" customHeight="1" ht="18">
      <c r="A230" s="50" t="s">
        <v>952</v>
      </c>
      <c r="B230" s="50" t="s">
        <v>967</v>
      </c>
      <c r="C230" s="50" t="s">
        <v>921</v>
      </c>
      <c r="D230" s="50" t="s">
        <v>977</v>
      </c>
      <c r="E230" s="50" t="s">
        <v>955</v>
      </c>
      <c r="F230" s="93">
        <v>48.68831659516381</v>
      </c>
      <c r="G230" s="45">
        <v>1</v>
      </c>
      <c r="H230" s="50" t="s">
        <v>1102</v>
      </c>
      <c r="I230" s="45">
        <v>1</v>
      </c>
      <c r="J230" s="52">
        <v>0.85</v>
      </c>
    </row>
    <row x14ac:dyDescent="0.25" r="231" customHeight="1" ht="18">
      <c r="A231" s="50" t="s">
        <v>952</v>
      </c>
      <c r="B231" s="50" t="s">
        <v>967</v>
      </c>
      <c r="C231" s="50" t="s">
        <v>921</v>
      </c>
      <c r="D231" s="50" t="s">
        <v>978</v>
      </c>
      <c r="E231" s="50" t="s">
        <v>955</v>
      </c>
      <c r="F231" s="93">
        <v>3.684521255850234</v>
      </c>
      <c r="G231" s="45">
        <v>1</v>
      </c>
      <c r="H231" s="50" t="s">
        <v>1102</v>
      </c>
      <c r="I231" s="45">
        <v>1</v>
      </c>
      <c r="J231" s="52">
        <v>0.85</v>
      </c>
    </row>
    <row x14ac:dyDescent="0.25" r="232" customHeight="1" ht="18">
      <c r="A232" s="50" t="s">
        <v>952</v>
      </c>
      <c r="B232" s="50" t="s">
        <v>967</v>
      </c>
      <c r="C232" s="50" t="s">
        <v>921</v>
      </c>
      <c r="D232" s="50" t="s">
        <v>979</v>
      </c>
      <c r="E232" s="50" t="s">
        <v>955</v>
      </c>
      <c r="F232" s="93">
        <v>4.210881435257411</v>
      </c>
      <c r="G232" s="45">
        <v>1</v>
      </c>
      <c r="H232" s="50" t="s">
        <v>1102</v>
      </c>
      <c r="I232" s="45">
        <v>1</v>
      </c>
      <c r="J232" s="52">
        <v>0.85</v>
      </c>
    </row>
    <row x14ac:dyDescent="0.25" r="233" customHeight="1" ht="18">
      <c r="A233" s="50" t="s">
        <v>952</v>
      </c>
      <c r="B233" s="50" t="s">
        <v>967</v>
      </c>
      <c r="C233" s="50" t="s">
        <v>921</v>
      </c>
      <c r="D233" s="50" t="s">
        <v>980</v>
      </c>
      <c r="E233" s="50" t="s">
        <v>955</v>
      </c>
      <c r="F233" s="93">
        <v>4.474061524960998</v>
      </c>
      <c r="G233" s="45">
        <v>1</v>
      </c>
      <c r="H233" s="50" t="s">
        <v>1102</v>
      </c>
      <c r="I233" s="45">
        <v>1</v>
      </c>
      <c r="J233" s="52">
        <v>0.85</v>
      </c>
    </row>
    <row x14ac:dyDescent="0.25" r="234" customHeight="1" ht="18">
      <c r="A234" s="50" t="s">
        <v>952</v>
      </c>
      <c r="B234" s="50" t="s">
        <v>967</v>
      </c>
      <c r="C234" s="50" t="s">
        <v>922</v>
      </c>
      <c r="D234" s="50" t="s">
        <v>957</v>
      </c>
      <c r="E234" s="50" t="s">
        <v>955</v>
      </c>
      <c r="F234" s="93">
        <v>40.0033736349454</v>
      </c>
      <c r="G234" s="45">
        <v>1</v>
      </c>
      <c r="H234" s="50" t="s">
        <v>1102</v>
      </c>
      <c r="I234" s="45">
        <v>1</v>
      </c>
      <c r="J234" s="52">
        <v>0.85</v>
      </c>
    </row>
    <row x14ac:dyDescent="0.25" r="235" customHeight="1" ht="18">
      <c r="A235" s="50" t="s">
        <v>952</v>
      </c>
      <c r="B235" s="50" t="s">
        <v>967</v>
      </c>
      <c r="C235" s="50" t="s">
        <v>922</v>
      </c>
      <c r="D235" s="50" t="s">
        <v>981</v>
      </c>
      <c r="E235" s="50" t="s">
        <v>955</v>
      </c>
      <c r="F235" s="93">
        <v>48.68831659516381</v>
      </c>
      <c r="G235" s="45">
        <v>1</v>
      </c>
      <c r="H235" s="50" t="s">
        <v>1102</v>
      </c>
      <c r="I235" s="45">
        <v>1</v>
      </c>
      <c r="J235" s="52">
        <v>0.85</v>
      </c>
    </row>
    <row x14ac:dyDescent="0.25" r="236" customHeight="1" ht="18">
      <c r="A236" s="50" t="s">
        <v>952</v>
      </c>
      <c r="B236" s="50" t="s">
        <v>967</v>
      </c>
      <c r="C236" s="50" t="s">
        <v>922</v>
      </c>
      <c r="D236" s="50" t="s">
        <v>982</v>
      </c>
      <c r="E236" s="50" t="s">
        <v>955</v>
      </c>
      <c r="F236" s="93">
        <v>3.684521255850234</v>
      </c>
      <c r="G236" s="45">
        <v>1</v>
      </c>
      <c r="H236" s="50" t="s">
        <v>1102</v>
      </c>
      <c r="I236" s="45">
        <v>1</v>
      </c>
      <c r="J236" s="52">
        <v>0.85</v>
      </c>
    </row>
    <row x14ac:dyDescent="0.25" r="237" customHeight="1" ht="18">
      <c r="A237" s="50" t="s">
        <v>952</v>
      </c>
      <c r="B237" s="50" t="s">
        <v>967</v>
      </c>
      <c r="C237" s="50" t="s">
        <v>922</v>
      </c>
      <c r="D237" s="50" t="s">
        <v>983</v>
      </c>
      <c r="E237" s="50" t="s">
        <v>955</v>
      </c>
      <c r="F237" s="93">
        <v>4.210881435257411</v>
      </c>
      <c r="G237" s="45">
        <v>1</v>
      </c>
      <c r="H237" s="50" t="s">
        <v>1102</v>
      </c>
      <c r="I237" s="45">
        <v>1</v>
      </c>
      <c r="J237" s="52">
        <v>0.85</v>
      </c>
    </row>
    <row x14ac:dyDescent="0.25" r="238" customHeight="1" ht="18">
      <c r="A238" s="50" t="s">
        <v>952</v>
      </c>
      <c r="B238" s="50" t="s">
        <v>967</v>
      </c>
      <c r="C238" s="50" t="s">
        <v>922</v>
      </c>
      <c r="D238" s="50" t="s">
        <v>984</v>
      </c>
      <c r="E238" s="50" t="s">
        <v>955</v>
      </c>
      <c r="F238" s="93">
        <v>4.474061524960998</v>
      </c>
      <c r="G238" s="45">
        <v>1</v>
      </c>
      <c r="H238" s="50" t="s">
        <v>1102</v>
      </c>
      <c r="I238" s="45">
        <v>1</v>
      </c>
      <c r="J238" s="52">
        <v>0.85</v>
      </c>
    </row>
    <row x14ac:dyDescent="0.25" r="239" customHeight="1" ht="18">
      <c r="A239" s="50" t="s">
        <v>952</v>
      </c>
      <c r="B239" s="50" t="s">
        <v>967</v>
      </c>
      <c r="C239" s="50" t="s">
        <v>922</v>
      </c>
      <c r="D239" s="50" t="s">
        <v>985</v>
      </c>
      <c r="E239" s="50" t="s">
        <v>955</v>
      </c>
      <c r="F239" s="45">
        <v>5</v>
      </c>
      <c r="G239" s="45">
        <v>1</v>
      </c>
      <c r="H239" s="50" t="s">
        <v>1102</v>
      </c>
      <c r="I239" s="45">
        <v>1</v>
      </c>
      <c r="J239" s="52">
        <v>0.85</v>
      </c>
    </row>
    <row x14ac:dyDescent="0.25" r="240" customHeight="1" ht="18">
      <c r="A240" s="50" t="s">
        <v>952</v>
      </c>
      <c r="B240" s="50" t="s">
        <v>967</v>
      </c>
      <c r="C240" s="50" t="s">
        <v>923</v>
      </c>
      <c r="D240" s="50" t="s">
        <v>958</v>
      </c>
      <c r="E240" s="50" t="s">
        <v>955</v>
      </c>
      <c r="F240" s="93">
        <v>40.0033736349454</v>
      </c>
      <c r="G240" s="45">
        <v>1</v>
      </c>
      <c r="H240" s="50" t="s">
        <v>1102</v>
      </c>
      <c r="I240" s="45">
        <v>1</v>
      </c>
      <c r="J240" s="52">
        <v>0.85</v>
      </c>
    </row>
    <row x14ac:dyDescent="0.25" r="241" customHeight="1" ht="18">
      <c r="A241" s="50" t="s">
        <v>952</v>
      </c>
      <c r="B241" s="50" t="s">
        <v>967</v>
      </c>
      <c r="C241" s="50" t="s">
        <v>923</v>
      </c>
      <c r="D241" s="50" t="s">
        <v>986</v>
      </c>
      <c r="E241" s="50" t="s">
        <v>955</v>
      </c>
      <c r="F241" s="93">
        <v>48.68831659516381</v>
      </c>
      <c r="G241" s="45">
        <v>1</v>
      </c>
      <c r="H241" s="50" t="s">
        <v>1102</v>
      </c>
      <c r="I241" s="45">
        <v>1</v>
      </c>
      <c r="J241" s="52">
        <v>0.85</v>
      </c>
    </row>
    <row x14ac:dyDescent="0.25" r="242" customHeight="1" ht="18">
      <c r="A242" s="50" t="s">
        <v>952</v>
      </c>
      <c r="B242" s="50" t="s">
        <v>967</v>
      </c>
      <c r="C242" s="50" t="s">
        <v>923</v>
      </c>
      <c r="D242" s="50" t="s">
        <v>987</v>
      </c>
      <c r="E242" s="50" t="s">
        <v>955</v>
      </c>
      <c r="F242" s="93">
        <v>3.684521255850234</v>
      </c>
      <c r="G242" s="45">
        <v>1</v>
      </c>
      <c r="H242" s="50" t="s">
        <v>1102</v>
      </c>
      <c r="I242" s="45">
        <v>1</v>
      </c>
      <c r="J242" s="52">
        <v>0.85</v>
      </c>
    </row>
    <row x14ac:dyDescent="0.25" r="243" customHeight="1" ht="18">
      <c r="A243" s="50" t="s">
        <v>952</v>
      </c>
      <c r="B243" s="50" t="s">
        <v>967</v>
      </c>
      <c r="C243" s="50" t="s">
        <v>923</v>
      </c>
      <c r="D243" s="50" t="s">
        <v>988</v>
      </c>
      <c r="E243" s="50" t="s">
        <v>955</v>
      </c>
      <c r="F243" s="93">
        <v>4.210881435257411</v>
      </c>
      <c r="G243" s="45">
        <v>1</v>
      </c>
      <c r="H243" s="50" t="s">
        <v>1102</v>
      </c>
      <c r="I243" s="45">
        <v>1</v>
      </c>
      <c r="J243" s="52">
        <v>0.85</v>
      </c>
    </row>
    <row x14ac:dyDescent="0.25" r="244" customHeight="1" ht="18">
      <c r="A244" s="50" t="s">
        <v>952</v>
      </c>
      <c r="B244" s="50" t="s">
        <v>967</v>
      </c>
      <c r="C244" s="50" t="s">
        <v>923</v>
      </c>
      <c r="D244" s="50" t="s">
        <v>989</v>
      </c>
      <c r="E244" s="50" t="s">
        <v>955</v>
      </c>
      <c r="F244" s="93">
        <v>4.474061524960998</v>
      </c>
      <c r="G244" s="45">
        <v>1</v>
      </c>
      <c r="H244" s="50" t="s">
        <v>1102</v>
      </c>
      <c r="I244" s="45">
        <v>1</v>
      </c>
      <c r="J244" s="52">
        <v>0.85</v>
      </c>
    </row>
    <row x14ac:dyDescent="0.25" r="245" customHeight="1" ht="18">
      <c r="A245" s="50" t="s">
        <v>962</v>
      </c>
      <c r="B245" s="50" t="s">
        <v>967</v>
      </c>
      <c r="C245" s="50" t="s">
        <v>927</v>
      </c>
      <c r="D245" s="50" t="s">
        <v>927</v>
      </c>
      <c r="E245" s="50" t="s">
        <v>955</v>
      </c>
      <c r="F245" s="51">
        <v>15.4</v>
      </c>
      <c r="G245" s="45">
        <v>1</v>
      </c>
      <c r="H245" s="50" t="s">
        <v>1101</v>
      </c>
      <c r="I245" s="45">
        <v>2</v>
      </c>
      <c r="J245" s="52">
        <v>0.85</v>
      </c>
    </row>
    <row x14ac:dyDescent="0.25" r="246" customHeight="1" ht="18">
      <c r="A246" s="50" t="s">
        <v>962</v>
      </c>
      <c r="B246" s="50" t="s">
        <v>967</v>
      </c>
      <c r="C246" s="50" t="s">
        <v>925</v>
      </c>
      <c r="D246" s="50" t="s">
        <v>1008</v>
      </c>
      <c r="E246" s="50" t="s">
        <v>955</v>
      </c>
      <c r="F246" s="51">
        <v>17.77</v>
      </c>
      <c r="G246" s="45">
        <v>1</v>
      </c>
      <c r="H246" s="50" t="s">
        <v>1101</v>
      </c>
      <c r="I246" s="45">
        <v>2</v>
      </c>
      <c r="J246" s="52">
        <v>0.85</v>
      </c>
    </row>
    <row x14ac:dyDescent="0.25" r="247" customHeight="1" ht="18">
      <c r="A247" s="50" t="s">
        <v>962</v>
      </c>
      <c r="B247" s="50" t="s">
        <v>967</v>
      </c>
      <c r="C247" s="50" t="s">
        <v>926</v>
      </c>
      <c r="D247" s="50" t="s">
        <v>1010</v>
      </c>
      <c r="E247" s="50" t="s">
        <v>955</v>
      </c>
      <c r="F247" s="51">
        <v>17.77</v>
      </c>
      <c r="G247" s="45">
        <v>1</v>
      </c>
      <c r="H247" s="50" t="s">
        <v>1101</v>
      </c>
      <c r="I247" s="45">
        <v>2</v>
      </c>
      <c r="J247" s="52">
        <v>0.85</v>
      </c>
    </row>
    <row x14ac:dyDescent="0.25" r="248" customHeight="1" ht="18">
      <c r="A248" s="50" t="s">
        <v>962</v>
      </c>
      <c r="B248" s="50" t="s">
        <v>967</v>
      </c>
      <c r="C248" s="50" t="s">
        <v>924</v>
      </c>
      <c r="D248" s="50" t="s">
        <v>1054</v>
      </c>
      <c r="E248" s="50" t="s">
        <v>955</v>
      </c>
      <c r="F248" s="51">
        <v>13.07</v>
      </c>
      <c r="G248" s="45">
        <v>1</v>
      </c>
      <c r="H248" s="50" t="s">
        <v>1101</v>
      </c>
      <c r="I248" s="45">
        <v>2</v>
      </c>
      <c r="J248" s="52">
        <v>0.85</v>
      </c>
    </row>
    <row x14ac:dyDescent="0.25" r="249" customHeight="1" ht="18">
      <c r="A249" s="50" t="s">
        <v>952</v>
      </c>
      <c r="B249" s="50" t="s">
        <v>967</v>
      </c>
      <c r="C249" s="50" t="s">
        <v>932</v>
      </c>
      <c r="D249" s="50" t="s">
        <v>1048</v>
      </c>
      <c r="E249" s="50" t="s">
        <v>955</v>
      </c>
      <c r="F249" s="51">
        <v>48.09</v>
      </c>
      <c r="G249" s="45">
        <v>1</v>
      </c>
      <c r="H249" s="50" t="s">
        <v>1101</v>
      </c>
      <c r="I249" s="45">
        <v>2</v>
      </c>
      <c r="J249" s="52">
        <v>0.85</v>
      </c>
    </row>
    <row x14ac:dyDescent="0.25" r="250" customHeight="1" ht="18">
      <c r="A250" s="50" t="s">
        <v>952</v>
      </c>
      <c r="B250" s="50" t="s">
        <v>967</v>
      </c>
      <c r="C250" s="50" t="s">
        <v>933</v>
      </c>
      <c r="D250" s="50" t="s">
        <v>1084</v>
      </c>
      <c r="E250" s="50" t="s">
        <v>955</v>
      </c>
      <c r="F250" s="51">
        <v>20.6</v>
      </c>
      <c r="G250" s="45">
        <v>1</v>
      </c>
      <c r="H250" s="50" t="s">
        <v>1101</v>
      </c>
      <c r="I250" s="45">
        <v>2</v>
      </c>
      <c r="J250" s="52">
        <v>0.85</v>
      </c>
    </row>
    <row x14ac:dyDescent="0.25" r="251" customHeight="1" ht="18">
      <c r="A251" s="50" t="s">
        <v>952</v>
      </c>
      <c r="B251" s="50" t="s">
        <v>967</v>
      </c>
      <c r="C251" s="50" t="s">
        <v>933</v>
      </c>
      <c r="D251" s="50" t="s">
        <v>1103</v>
      </c>
      <c r="E251" s="50" t="s">
        <v>955</v>
      </c>
      <c r="F251" s="51">
        <v>46.67</v>
      </c>
      <c r="G251" s="45">
        <v>1</v>
      </c>
      <c r="H251" s="50" t="s">
        <v>1101</v>
      </c>
      <c r="I251" s="45">
        <v>2</v>
      </c>
      <c r="J251" s="52">
        <v>0.85</v>
      </c>
    </row>
    <row x14ac:dyDescent="0.25" r="252" customHeight="1" ht="18">
      <c r="A252" s="50" t="s">
        <v>952</v>
      </c>
      <c r="B252" s="50" t="s">
        <v>967</v>
      </c>
      <c r="C252" s="50" t="s">
        <v>933</v>
      </c>
      <c r="D252" s="50" t="s">
        <v>1104</v>
      </c>
      <c r="E252" s="50" t="s">
        <v>955</v>
      </c>
      <c r="F252" s="51">
        <v>20.43</v>
      </c>
      <c r="G252" s="45">
        <v>1</v>
      </c>
      <c r="H252" s="50" t="s">
        <v>1101</v>
      </c>
      <c r="I252" s="45">
        <v>2</v>
      </c>
      <c r="J252" s="52">
        <v>0.85</v>
      </c>
    </row>
    <row x14ac:dyDescent="0.25" r="253" customHeight="1" ht="18">
      <c r="A253" s="50" t="s">
        <v>952</v>
      </c>
      <c r="B253" s="50" t="s">
        <v>967</v>
      </c>
      <c r="C253" s="50" t="s">
        <v>934</v>
      </c>
      <c r="D253" s="50" t="s">
        <v>1043</v>
      </c>
      <c r="E253" s="50" t="s">
        <v>955</v>
      </c>
      <c r="F253" s="51">
        <v>51.25</v>
      </c>
      <c r="G253" s="45">
        <v>1</v>
      </c>
      <c r="H253" s="50" t="s">
        <v>1101</v>
      </c>
      <c r="I253" s="45">
        <v>2</v>
      </c>
      <c r="J253" s="52">
        <v>0.85</v>
      </c>
    </row>
    <row x14ac:dyDescent="0.25" r="254" customHeight="1" ht="18">
      <c r="A254" s="50" t="s">
        <v>952</v>
      </c>
      <c r="B254" s="50" t="s">
        <v>967</v>
      </c>
      <c r="C254" s="50" t="s">
        <v>934</v>
      </c>
      <c r="D254" s="50" t="s">
        <v>1105</v>
      </c>
      <c r="E254" s="50" t="s">
        <v>955</v>
      </c>
      <c r="F254" s="51">
        <v>15.19</v>
      </c>
      <c r="G254" s="45">
        <v>1</v>
      </c>
      <c r="H254" s="50" t="s">
        <v>1101</v>
      </c>
      <c r="I254" s="45">
        <v>2</v>
      </c>
      <c r="J254" s="52">
        <v>0.85</v>
      </c>
    </row>
    <row x14ac:dyDescent="0.25" r="255" customHeight="1" ht="18">
      <c r="A255" s="50" t="s">
        <v>952</v>
      </c>
      <c r="B255" s="50" t="s">
        <v>967</v>
      </c>
      <c r="C255" s="50" t="s">
        <v>935</v>
      </c>
      <c r="D255" s="50" t="s">
        <v>1043</v>
      </c>
      <c r="E255" s="50" t="s">
        <v>955</v>
      </c>
      <c r="F255" s="51">
        <v>51.25</v>
      </c>
      <c r="G255" s="45">
        <v>1</v>
      </c>
      <c r="H255" s="50" t="s">
        <v>1101</v>
      </c>
      <c r="I255" s="45">
        <v>2</v>
      </c>
      <c r="J255" s="52">
        <v>0.85</v>
      </c>
    </row>
    <row x14ac:dyDescent="0.25" r="256" customHeight="1" ht="18">
      <c r="A256" s="50" t="s">
        <v>952</v>
      </c>
      <c r="B256" s="50" t="s">
        <v>967</v>
      </c>
      <c r="C256" s="50" t="s">
        <v>931</v>
      </c>
      <c r="D256" s="50" t="s">
        <v>1041</v>
      </c>
      <c r="E256" s="50" t="s">
        <v>955</v>
      </c>
      <c r="F256" s="51">
        <v>12.66</v>
      </c>
      <c r="G256" s="45">
        <v>1</v>
      </c>
      <c r="H256" s="50" t="s">
        <v>1101</v>
      </c>
      <c r="I256" s="45">
        <v>2</v>
      </c>
      <c r="J256" s="52">
        <v>0.85</v>
      </c>
    </row>
    <row x14ac:dyDescent="0.25" r="257" customHeight="1" ht="18">
      <c r="A257" s="50" t="s">
        <v>952</v>
      </c>
      <c r="B257" s="50" t="s">
        <v>967</v>
      </c>
      <c r="C257" s="50" t="s">
        <v>930</v>
      </c>
      <c r="D257" s="50" t="s">
        <v>1073</v>
      </c>
      <c r="E257" s="50" t="s">
        <v>955</v>
      </c>
      <c r="F257" s="51">
        <v>15.33</v>
      </c>
      <c r="G257" s="45">
        <v>1</v>
      </c>
      <c r="H257" s="50" t="s">
        <v>1101</v>
      </c>
      <c r="I257" s="45">
        <v>2</v>
      </c>
      <c r="J257" s="52">
        <v>0.85</v>
      </c>
    </row>
    <row x14ac:dyDescent="0.25" r="258" customHeight="1" ht="18">
      <c r="A258" s="50" t="s">
        <v>952</v>
      </c>
      <c r="B258" s="50" t="s">
        <v>967</v>
      </c>
      <c r="C258" s="50" t="s">
        <v>930</v>
      </c>
      <c r="D258" s="50" t="s">
        <v>1069</v>
      </c>
      <c r="E258" s="50" t="s">
        <v>955</v>
      </c>
      <c r="F258" s="51">
        <v>69.74</v>
      </c>
      <c r="G258" s="45">
        <v>1</v>
      </c>
      <c r="H258" s="50" t="s">
        <v>1101</v>
      </c>
      <c r="I258" s="45">
        <v>2</v>
      </c>
      <c r="J258" s="52">
        <v>0.85</v>
      </c>
    </row>
    <row x14ac:dyDescent="0.25" r="259" customHeight="1" ht="18">
      <c r="A259" s="50" t="s">
        <v>952</v>
      </c>
      <c r="B259" s="50" t="s">
        <v>967</v>
      </c>
      <c r="C259" s="50" t="s">
        <v>929</v>
      </c>
      <c r="D259" s="50" t="s">
        <v>1073</v>
      </c>
      <c r="E259" s="50" t="s">
        <v>955</v>
      </c>
      <c r="F259" s="51">
        <v>15.33</v>
      </c>
      <c r="G259" s="45">
        <v>1</v>
      </c>
      <c r="H259" s="50" t="s">
        <v>1101</v>
      </c>
      <c r="I259" s="45">
        <v>2</v>
      </c>
      <c r="J259" s="52">
        <v>0.85</v>
      </c>
    </row>
    <row x14ac:dyDescent="0.25" r="260" customHeight="1" ht="18">
      <c r="A260" s="50" t="s">
        <v>952</v>
      </c>
      <c r="B260" s="50" t="s">
        <v>967</v>
      </c>
      <c r="C260" s="50" t="s">
        <v>929</v>
      </c>
      <c r="D260" s="50" t="s">
        <v>1069</v>
      </c>
      <c r="E260" s="50" t="s">
        <v>955</v>
      </c>
      <c r="F260" s="51">
        <v>69.74</v>
      </c>
      <c r="G260" s="45">
        <v>1</v>
      </c>
      <c r="H260" s="50" t="s">
        <v>1101</v>
      </c>
      <c r="I260" s="45">
        <v>2</v>
      </c>
      <c r="J260" s="52">
        <v>0.85</v>
      </c>
    </row>
    <row x14ac:dyDescent="0.25" r="261" customHeight="1" ht="18">
      <c r="A261" s="50" t="s">
        <v>952</v>
      </c>
      <c r="B261" s="50" t="s">
        <v>967</v>
      </c>
      <c r="C261" s="50" t="s">
        <v>936</v>
      </c>
      <c r="D261" s="50" t="s">
        <v>1089</v>
      </c>
      <c r="E261" s="50" t="s">
        <v>955</v>
      </c>
      <c r="F261" s="51">
        <v>30</v>
      </c>
      <c r="G261" s="45">
        <v>1</v>
      </c>
      <c r="H261" s="50" t="s">
        <v>1101</v>
      </c>
      <c r="I261" s="45">
        <v>2</v>
      </c>
      <c r="J261" s="52">
        <v>0.85</v>
      </c>
    </row>
    <row x14ac:dyDescent="0.25" r="262" customHeight="1" ht="18">
      <c r="A262" s="50" t="s">
        <v>952</v>
      </c>
      <c r="B262" s="50" t="s">
        <v>967</v>
      </c>
      <c r="C262" s="50" t="s">
        <v>936</v>
      </c>
      <c r="D262" s="50" t="s">
        <v>1091</v>
      </c>
      <c r="E262" s="50" t="s">
        <v>955</v>
      </c>
      <c r="F262" s="51">
        <v>22.5</v>
      </c>
      <c r="G262" s="45">
        <v>1</v>
      </c>
      <c r="H262" s="50" t="s">
        <v>1101</v>
      </c>
      <c r="I262" s="45">
        <v>2</v>
      </c>
      <c r="J262" s="52">
        <v>0.85</v>
      </c>
    </row>
    <row x14ac:dyDescent="0.25" r="263" customHeight="1" ht="18">
      <c r="A263" s="50" t="s">
        <v>952</v>
      </c>
      <c r="B263" s="50" t="s">
        <v>967</v>
      </c>
      <c r="C263" s="50" t="s">
        <v>936</v>
      </c>
      <c r="D263" s="50" t="s">
        <v>1095</v>
      </c>
      <c r="E263" s="50" t="s">
        <v>955</v>
      </c>
      <c r="F263" s="51">
        <v>17.5</v>
      </c>
      <c r="G263" s="45">
        <v>1</v>
      </c>
      <c r="H263" s="50" t="s">
        <v>1101</v>
      </c>
      <c r="I263" s="45">
        <v>2</v>
      </c>
      <c r="J263" s="52">
        <v>0.85</v>
      </c>
    </row>
    <row x14ac:dyDescent="0.25" r="264" customHeight="1" ht="18">
      <c r="A264" s="50" t="s">
        <v>952</v>
      </c>
      <c r="B264" s="50" t="s">
        <v>967</v>
      </c>
      <c r="C264" s="50" t="s">
        <v>936</v>
      </c>
      <c r="D264" s="50" t="s">
        <v>1093</v>
      </c>
      <c r="E264" s="50" t="s">
        <v>955</v>
      </c>
      <c r="F264" s="51">
        <v>45</v>
      </c>
      <c r="G264" s="45">
        <v>1</v>
      </c>
      <c r="H264" s="50" t="s">
        <v>1101</v>
      </c>
      <c r="I264" s="45">
        <v>2</v>
      </c>
      <c r="J264" s="52">
        <v>0.85</v>
      </c>
    </row>
    <row x14ac:dyDescent="0.25" r="265" customHeight="1" ht="18">
      <c r="A265" s="50" t="s">
        <v>952</v>
      </c>
      <c r="B265" s="50" t="s">
        <v>967</v>
      </c>
      <c r="C265" s="50" t="s">
        <v>937</v>
      </c>
      <c r="D265" s="50" t="s">
        <v>1089</v>
      </c>
      <c r="E265" s="50" t="s">
        <v>955</v>
      </c>
      <c r="F265" s="51">
        <v>30</v>
      </c>
      <c r="G265" s="45">
        <v>1</v>
      </c>
      <c r="H265" s="50" t="s">
        <v>1101</v>
      </c>
      <c r="I265" s="45">
        <v>2</v>
      </c>
      <c r="J265" s="52">
        <v>0.85</v>
      </c>
    </row>
    <row x14ac:dyDescent="0.25" r="266" customHeight="1" ht="18">
      <c r="A266" s="50" t="s">
        <v>952</v>
      </c>
      <c r="B266" s="50" t="s">
        <v>967</v>
      </c>
      <c r="C266" s="50" t="s">
        <v>937</v>
      </c>
      <c r="D266" s="50" t="s">
        <v>1091</v>
      </c>
      <c r="E266" s="50" t="s">
        <v>955</v>
      </c>
      <c r="F266" s="51">
        <v>22.5</v>
      </c>
      <c r="G266" s="45">
        <v>1</v>
      </c>
      <c r="H266" s="50" t="s">
        <v>1101</v>
      </c>
      <c r="I266" s="45">
        <v>2</v>
      </c>
      <c r="J266" s="52">
        <v>0.85</v>
      </c>
    </row>
    <row x14ac:dyDescent="0.25" r="267" customHeight="1" ht="18">
      <c r="A267" s="50" t="s">
        <v>952</v>
      </c>
      <c r="B267" s="50" t="s">
        <v>967</v>
      </c>
      <c r="C267" s="50" t="s">
        <v>937</v>
      </c>
      <c r="D267" s="50" t="s">
        <v>1095</v>
      </c>
      <c r="E267" s="50" t="s">
        <v>955</v>
      </c>
      <c r="F267" s="51">
        <v>17.5</v>
      </c>
      <c r="G267" s="45">
        <v>1</v>
      </c>
      <c r="H267" s="50" t="s">
        <v>1101</v>
      </c>
      <c r="I267" s="45">
        <v>2</v>
      </c>
      <c r="J267" s="52">
        <v>0.85</v>
      </c>
    </row>
    <row x14ac:dyDescent="0.25" r="268" customHeight="1" ht="18">
      <c r="A268" s="50" t="s">
        <v>952</v>
      </c>
      <c r="B268" s="50" t="s">
        <v>967</v>
      </c>
      <c r="C268" s="50" t="s">
        <v>937</v>
      </c>
      <c r="D268" s="50" t="s">
        <v>1093</v>
      </c>
      <c r="E268" s="50" t="s">
        <v>955</v>
      </c>
      <c r="F268" s="51">
        <v>45</v>
      </c>
      <c r="G268" s="45">
        <v>1</v>
      </c>
      <c r="H268" s="50" t="s">
        <v>1101</v>
      </c>
      <c r="I268" s="45">
        <v>2</v>
      </c>
      <c r="J268" s="52">
        <v>0.85</v>
      </c>
    </row>
    <row x14ac:dyDescent="0.25" r="269" customHeight="1" ht="18">
      <c r="A269" s="50" t="s">
        <v>962</v>
      </c>
      <c r="B269" s="50" t="s">
        <v>963</v>
      </c>
      <c r="C269" s="50" t="s">
        <v>909</v>
      </c>
      <c r="D269" s="50" t="s">
        <v>909</v>
      </c>
      <c r="E269" s="50" t="s">
        <v>955</v>
      </c>
      <c r="F269" s="51">
        <v>86.37360000000001</v>
      </c>
      <c r="G269" s="45">
        <v>1</v>
      </c>
      <c r="H269" s="50" t="s">
        <v>343</v>
      </c>
      <c r="I269" s="45">
        <v>1</v>
      </c>
      <c r="J269" s="52">
        <v>0.85</v>
      </c>
    </row>
    <row x14ac:dyDescent="0.25" r="270" customHeight="1" ht="18">
      <c r="A270" s="50" t="s">
        <v>962</v>
      </c>
      <c r="B270" s="50" t="s">
        <v>963</v>
      </c>
      <c r="C270" s="50" t="s">
        <v>910</v>
      </c>
      <c r="D270" s="50" t="s">
        <v>964</v>
      </c>
      <c r="E270" s="50" t="s">
        <v>955</v>
      </c>
      <c r="F270" s="51">
        <v>60.99830508474577</v>
      </c>
      <c r="G270" s="45">
        <v>1</v>
      </c>
      <c r="H270" s="50" t="s">
        <v>328</v>
      </c>
      <c r="I270" s="45">
        <v>1</v>
      </c>
      <c r="J270" s="52">
        <v>0.85</v>
      </c>
    </row>
    <row x14ac:dyDescent="0.25" r="271" customHeight="1" ht="18">
      <c r="A271" s="50" t="s">
        <v>962</v>
      </c>
      <c r="B271" s="50" t="s">
        <v>963</v>
      </c>
      <c r="C271" s="50" t="s">
        <v>919</v>
      </c>
      <c r="D271" s="50" t="s">
        <v>965</v>
      </c>
      <c r="E271" s="50" t="s">
        <v>955</v>
      </c>
      <c r="F271" s="51">
        <v>12.95604</v>
      </c>
      <c r="G271" s="45">
        <v>1</v>
      </c>
      <c r="H271" s="50" t="s">
        <v>307</v>
      </c>
      <c r="I271" s="45">
        <v>1</v>
      </c>
      <c r="J271" s="52">
        <v>0.85</v>
      </c>
    </row>
    <row x14ac:dyDescent="0.25" r="272" customHeight="1" ht="18">
      <c r="A272" s="50" t="s">
        <v>962</v>
      </c>
      <c r="B272" s="50" t="s">
        <v>963</v>
      </c>
      <c r="C272" s="86" t="s">
        <v>920</v>
      </c>
      <c r="D272" s="86" t="s">
        <v>920</v>
      </c>
      <c r="E272" s="50" t="s">
        <v>955</v>
      </c>
      <c r="F272" s="51">
        <v>17.05</v>
      </c>
      <c r="G272" s="45">
        <v>1</v>
      </c>
      <c r="H272" s="50" t="s">
        <v>307</v>
      </c>
      <c r="I272" s="45">
        <v>1</v>
      </c>
      <c r="J272" s="52">
        <v>0.85</v>
      </c>
    </row>
    <row x14ac:dyDescent="0.25" r="273" customHeight="1" ht="18">
      <c r="A273" s="50" t="s">
        <v>962</v>
      </c>
      <c r="B273" s="50" t="s">
        <v>963</v>
      </c>
      <c r="C273" s="50" t="s">
        <v>915</v>
      </c>
      <c r="D273" s="50" t="s">
        <v>912</v>
      </c>
      <c r="E273" s="50" t="s">
        <v>955</v>
      </c>
      <c r="F273" s="51">
        <v>25.91</v>
      </c>
      <c r="G273" s="45">
        <v>1</v>
      </c>
      <c r="H273" s="50" t="s">
        <v>318</v>
      </c>
      <c r="I273" s="45">
        <v>1</v>
      </c>
      <c r="J273" s="52">
        <v>0.85</v>
      </c>
    </row>
    <row x14ac:dyDescent="0.25" r="274" customHeight="1" ht="18">
      <c r="A274" s="50" t="s">
        <v>962</v>
      </c>
      <c r="B274" s="50" t="s">
        <v>963</v>
      </c>
      <c r="C274" s="50" t="s">
        <v>918</v>
      </c>
      <c r="D274" s="50" t="s">
        <v>918</v>
      </c>
      <c r="E274" s="50" t="s">
        <v>955</v>
      </c>
      <c r="F274" s="51">
        <v>46.48</v>
      </c>
      <c r="G274" s="45">
        <v>1</v>
      </c>
      <c r="H274" s="50" t="s">
        <v>335</v>
      </c>
      <c r="I274" s="45">
        <v>1</v>
      </c>
      <c r="J274" s="52">
        <v>0.85</v>
      </c>
    </row>
    <row x14ac:dyDescent="0.25" r="275" customHeight="1" ht="18">
      <c r="A275" s="50" t="s">
        <v>952</v>
      </c>
      <c r="B275" s="50" t="s">
        <v>963</v>
      </c>
      <c r="C275" s="50" t="s">
        <v>921</v>
      </c>
      <c r="D275" s="50" t="s">
        <v>954</v>
      </c>
      <c r="E275" s="50" t="s">
        <v>955</v>
      </c>
      <c r="F275" s="51">
        <v>61</v>
      </c>
      <c r="G275" s="45">
        <v>1</v>
      </c>
      <c r="H275" s="50" t="s">
        <v>966</v>
      </c>
      <c r="I275" s="45">
        <v>3</v>
      </c>
      <c r="J275" s="52">
        <v>0.85</v>
      </c>
    </row>
    <row x14ac:dyDescent="0.25" r="276" customHeight="1" ht="18">
      <c r="A276" s="50" t="s">
        <v>952</v>
      </c>
      <c r="B276" s="50" t="s">
        <v>963</v>
      </c>
      <c r="C276" s="50" t="s">
        <v>922</v>
      </c>
      <c r="D276" s="50" t="s">
        <v>957</v>
      </c>
      <c r="E276" s="50" t="s">
        <v>955</v>
      </c>
      <c r="F276" s="51">
        <v>61</v>
      </c>
      <c r="G276" s="45">
        <v>1</v>
      </c>
      <c r="H276" s="50" t="s">
        <v>966</v>
      </c>
      <c r="I276" s="45">
        <v>3</v>
      </c>
      <c r="J276" s="52">
        <v>0.85</v>
      </c>
    </row>
    <row x14ac:dyDescent="0.25" r="277" customHeight="1" ht="18">
      <c r="A277" s="50" t="s">
        <v>952</v>
      </c>
      <c r="B277" s="50" t="s">
        <v>963</v>
      </c>
      <c r="C277" s="50" t="s">
        <v>923</v>
      </c>
      <c r="D277" s="50" t="s">
        <v>958</v>
      </c>
      <c r="E277" s="50" t="s">
        <v>955</v>
      </c>
      <c r="F277" s="51">
        <v>90.3</v>
      </c>
      <c r="G277" s="45">
        <v>1</v>
      </c>
      <c r="H277" s="50" t="s">
        <v>284</v>
      </c>
      <c r="I277" s="45">
        <v>3</v>
      </c>
      <c r="J277" s="52">
        <v>0.85</v>
      </c>
    </row>
    <row x14ac:dyDescent="0.25" r="278" customHeight="1" ht="18">
      <c r="A278" s="50" t="s">
        <v>952</v>
      </c>
      <c r="B278" s="50" t="s">
        <v>953</v>
      </c>
      <c r="C278" s="50" t="s">
        <v>921</v>
      </c>
      <c r="D278" s="50" t="s">
        <v>954</v>
      </c>
      <c r="E278" s="50" t="s">
        <v>955</v>
      </c>
      <c r="F278" s="51">
        <v>38.76247599071444</v>
      </c>
      <c r="G278" s="45">
        <v>1</v>
      </c>
      <c r="H278" s="50" t="s">
        <v>956</v>
      </c>
      <c r="I278" s="45">
        <v>3</v>
      </c>
      <c r="J278" s="52">
        <v>0.85</v>
      </c>
    </row>
    <row x14ac:dyDescent="0.25" r="279" customHeight="1" ht="18">
      <c r="A279" s="50" t="s">
        <v>952</v>
      </c>
      <c r="B279" s="50" t="s">
        <v>953</v>
      </c>
      <c r="C279" s="50" t="s">
        <v>922</v>
      </c>
      <c r="D279" s="50" t="s">
        <v>957</v>
      </c>
      <c r="E279" s="50" t="s">
        <v>955</v>
      </c>
      <c r="F279" s="51">
        <v>80.03649635036497</v>
      </c>
      <c r="G279" s="45">
        <v>1</v>
      </c>
      <c r="H279" s="50" t="s">
        <v>121</v>
      </c>
      <c r="I279" s="45">
        <v>3</v>
      </c>
      <c r="J279" s="52">
        <v>0.85</v>
      </c>
    </row>
    <row x14ac:dyDescent="0.25" r="280" customHeight="1" ht="18">
      <c r="A280" s="50" t="s">
        <v>952</v>
      </c>
      <c r="B280" s="50" t="s">
        <v>953</v>
      </c>
      <c r="C280" s="50" t="s">
        <v>923</v>
      </c>
      <c r="D280" s="50" t="s">
        <v>958</v>
      </c>
      <c r="E280" s="50" t="s">
        <v>955</v>
      </c>
      <c r="F280" s="51">
        <v>83.97420612936823</v>
      </c>
      <c r="G280" s="45">
        <v>1</v>
      </c>
      <c r="H280" s="50" t="s">
        <v>114</v>
      </c>
      <c r="I280" s="45">
        <v>3</v>
      </c>
      <c r="J280" s="52">
        <v>0.85</v>
      </c>
    </row>
    <row x14ac:dyDescent="0.25" r="281" customHeight="1" ht="18">
      <c r="A281" s="94" t="s">
        <v>952</v>
      </c>
      <c r="B281" s="94" t="s">
        <v>1106</v>
      </c>
      <c r="C281" s="94" t="s">
        <v>929</v>
      </c>
      <c r="D281" s="94" t="s">
        <v>1064</v>
      </c>
      <c r="E281" s="94" t="s">
        <v>955</v>
      </c>
      <c r="F281" s="95">
        <v>9.8</v>
      </c>
      <c r="G281" s="96">
        <v>1</v>
      </c>
      <c r="H281" s="94" t="s">
        <v>507</v>
      </c>
      <c r="I281" s="96">
        <v>1</v>
      </c>
      <c r="J281" s="97">
        <v>0.85</v>
      </c>
    </row>
    <row x14ac:dyDescent="0.25" r="282" customHeight="1" ht="18">
      <c r="A282" s="94" t="s">
        <v>952</v>
      </c>
      <c r="B282" s="94" t="s">
        <v>1106</v>
      </c>
      <c r="C282" s="94" t="s">
        <v>929</v>
      </c>
      <c r="D282" s="94" t="s">
        <v>1065</v>
      </c>
      <c r="E282" s="94" t="s">
        <v>955</v>
      </c>
      <c r="F282" s="95">
        <v>46.21</v>
      </c>
      <c r="G282" s="96">
        <v>1</v>
      </c>
      <c r="H282" s="94" t="s">
        <v>507</v>
      </c>
      <c r="I282" s="96">
        <v>1</v>
      </c>
      <c r="J282" s="97">
        <v>0.85</v>
      </c>
    </row>
    <row x14ac:dyDescent="0.25" r="283" customHeight="1" ht="18">
      <c r="A283" s="94" t="s">
        <v>952</v>
      </c>
      <c r="B283" s="94" t="s">
        <v>1106</v>
      </c>
      <c r="C283" s="94" t="s">
        <v>929</v>
      </c>
      <c r="D283" s="94" t="s">
        <v>1067</v>
      </c>
      <c r="E283" s="94" t="s">
        <v>955</v>
      </c>
      <c r="F283" s="95">
        <v>87.72</v>
      </c>
      <c r="G283" s="96">
        <v>1</v>
      </c>
      <c r="H283" s="94" t="s">
        <v>507</v>
      </c>
      <c r="I283" s="96">
        <v>1</v>
      </c>
      <c r="J283" s="97">
        <v>0.85</v>
      </c>
    </row>
    <row x14ac:dyDescent="0.25" r="284" customHeight="1" ht="18">
      <c r="A284" s="94" t="s">
        <v>952</v>
      </c>
      <c r="B284" s="94" t="s">
        <v>1106</v>
      </c>
      <c r="C284" s="94" t="s">
        <v>929</v>
      </c>
      <c r="D284" s="94" t="s">
        <v>1069</v>
      </c>
      <c r="E284" s="94" t="s">
        <v>955</v>
      </c>
      <c r="F284" s="95">
        <v>55.34</v>
      </c>
      <c r="G284" s="96">
        <v>1</v>
      </c>
      <c r="H284" s="94" t="s">
        <v>507</v>
      </c>
      <c r="I284" s="96">
        <v>1</v>
      </c>
      <c r="J284" s="97">
        <v>0.85</v>
      </c>
    </row>
    <row x14ac:dyDescent="0.25" r="285" customHeight="1" ht="18">
      <c r="A285" s="94" t="s">
        <v>952</v>
      </c>
      <c r="B285" s="94" t="s">
        <v>1106</v>
      </c>
      <c r="C285" s="94" t="s">
        <v>929</v>
      </c>
      <c r="D285" s="94" t="s">
        <v>1071</v>
      </c>
      <c r="E285" s="94" t="s">
        <v>955</v>
      </c>
      <c r="F285" s="95">
        <v>53.39</v>
      </c>
      <c r="G285" s="96">
        <v>1</v>
      </c>
      <c r="H285" s="94" t="s">
        <v>507</v>
      </c>
      <c r="I285" s="96">
        <v>1</v>
      </c>
      <c r="J285" s="97">
        <v>0.85</v>
      </c>
    </row>
    <row x14ac:dyDescent="0.25" r="286" customHeight="1" ht="18">
      <c r="A286" s="94" t="s">
        <v>952</v>
      </c>
      <c r="B286" s="94" t="s">
        <v>1106</v>
      </c>
      <c r="C286" s="94" t="s">
        <v>930</v>
      </c>
      <c r="D286" s="94" t="s">
        <v>1064</v>
      </c>
      <c r="E286" s="94" t="s">
        <v>955</v>
      </c>
      <c r="F286" s="95">
        <v>9.8</v>
      </c>
      <c r="G286" s="96">
        <v>1</v>
      </c>
      <c r="H286" s="94" t="s">
        <v>507</v>
      </c>
      <c r="I286" s="96">
        <v>1</v>
      </c>
      <c r="J286" s="97">
        <v>0.85</v>
      </c>
    </row>
    <row x14ac:dyDescent="0.25" r="287" customHeight="1" ht="18">
      <c r="A287" s="94" t="s">
        <v>952</v>
      </c>
      <c r="B287" s="94" t="s">
        <v>1106</v>
      </c>
      <c r="C287" s="94" t="s">
        <v>930</v>
      </c>
      <c r="D287" s="94" t="s">
        <v>1065</v>
      </c>
      <c r="E287" s="94" t="s">
        <v>955</v>
      </c>
      <c r="F287" s="95">
        <v>46.21</v>
      </c>
      <c r="G287" s="96">
        <v>1</v>
      </c>
      <c r="H287" s="94" t="s">
        <v>507</v>
      </c>
      <c r="I287" s="96">
        <v>1</v>
      </c>
      <c r="J287" s="97">
        <v>0.85</v>
      </c>
    </row>
    <row x14ac:dyDescent="0.25" r="288" customHeight="1" ht="18">
      <c r="A288" s="94" t="s">
        <v>952</v>
      </c>
      <c r="B288" s="94" t="s">
        <v>1106</v>
      </c>
      <c r="C288" s="94" t="s">
        <v>930</v>
      </c>
      <c r="D288" s="94" t="s">
        <v>1067</v>
      </c>
      <c r="E288" s="94" t="s">
        <v>955</v>
      </c>
      <c r="F288" s="95">
        <v>87.72</v>
      </c>
      <c r="G288" s="96">
        <v>1</v>
      </c>
      <c r="H288" s="94" t="s">
        <v>507</v>
      </c>
      <c r="I288" s="96">
        <v>1</v>
      </c>
      <c r="J288" s="97">
        <v>0.85</v>
      </c>
    </row>
    <row x14ac:dyDescent="0.25" r="289" customHeight="1" ht="18">
      <c r="A289" s="94" t="s">
        <v>952</v>
      </c>
      <c r="B289" s="94" t="s">
        <v>1106</v>
      </c>
      <c r="C289" s="94" t="s">
        <v>930</v>
      </c>
      <c r="D289" s="94" t="s">
        <v>1069</v>
      </c>
      <c r="E289" s="94" t="s">
        <v>955</v>
      </c>
      <c r="F289" s="95">
        <v>55.34</v>
      </c>
      <c r="G289" s="96">
        <v>1</v>
      </c>
      <c r="H289" s="94" t="s">
        <v>507</v>
      </c>
      <c r="I289" s="96">
        <v>1</v>
      </c>
      <c r="J289" s="97">
        <v>0.85</v>
      </c>
    </row>
    <row x14ac:dyDescent="0.25" r="290" customHeight="1" ht="18">
      <c r="A290" s="94" t="s">
        <v>952</v>
      </c>
      <c r="B290" s="94" t="s">
        <v>1106</v>
      </c>
      <c r="C290" s="94" t="s">
        <v>930</v>
      </c>
      <c r="D290" s="94" t="s">
        <v>1071</v>
      </c>
      <c r="E290" s="94" t="s">
        <v>955</v>
      </c>
      <c r="F290" s="95">
        <v>53.39</v>
      </c>
      <c r="G290" s="96">
        <v>1</v>
      </c>
      <c r="H290" s="94" t="s">
        <v>507</v>
      </c>
      <c r="I290" s="96">
        <v>1</v>
      </c>
      <c r="J290" s="97">
        <v>0.85</v>
      </c>
    </row>
    <row x14ac:dyDescent="0.25" r="291" customHeight="1" ht="18">
      <c r="A291" s="94" t="s">
        <v>952</v>
      </c>
      <c r="B291" s="94" t="s">
        <v>1106</v>
      </c>
      <c r="C291" s="94" t="s">
        <v>931</v>
      </c>
      <c r="D291" s="94" t="s">
        <v>1074</v>
      </c>
      <c r="E291" s="94" t="s">
        <v>955</v>
      </c>
      <c r="F291" s="95">
        <v>46.02</v>
      </c>
      <c r="G291" s="96">
        <v>1</v>
      </c>
      <c r="H291" s="94" t="s">
        <v>507</v>
      </c>
      <c r="I291" s="96">
        <v>1</v>
      </c>
      <c r="J291" s="97">
        <v>0.85</v>
      </c>
    </row>
    <row x14ac:dyDescent="0.25" r="292" customHeight="1" ht="18">
      <c r="A292" s="94" t="s">
        <v>952</v>
      </c>
      <c r="B292" s="94" t="s">
        <v>1106</v>
      </c>
      <c r="C292" s="94" t="s">
        <v>931</v>
      </c>
      <c r="D292" s="94" t="s">
        <v>1076</v>
      </c>
      <c r="E292" s="94" t="s">
        <v>955</v>
      </c>
      <c r="F292" s="95">
        <v>41.26</v>
      </c>
      <c r="G292" s="96">
        <v>1</v>
      </c>
      <c r="H292" s="94" t="s">
        <v>507</v>
      </c>
      <c r="I292" s="96">
        <v>1</v>
      </c>
      <c r="J292" s="97">
        <v>0.85</v>
      </c>
    </row>
    <row x14ac:dyDescent="0.25" r="293" customHeight="1" ht="18">
      <c r="A293" s="94" t="s">
        <v>952</v>
      </c>
      <c r="B293" s="94" t="s">
        <v>1106</v>
      </c>
      <c r="C293" s="94" t="s">
        <v>936</v>
      </c>
      <c r="D293" s="94" t="s">
        <v>1089</v>
      </c>
      <c r="E293" s="94" t="s">
        <v>955</v>
      </c>
      <c r="F293" s="95">
        <v>50</v>
      </c>
      <c r="G293" s="96">
        <v>1</v>
      </c>
      <c r="H293" s="94" t="s">
        <v>507</v>
      </c>
      <c r="I293" s="96">
        <v>1</v>
      </c>
      <c r="J293" s="97">
        <v>0.85</v>
      </c>
    </row>
    <row x14ac:dyDescent="0.25" r="294" customHeight="1" ht="18">
      <c r="A294" s="94" t="s">
        <v>952</v>
      </c>
      <c r="B294" s="94" t="s">
        <v>1106</v>
      </c>
      <c r="C294" s="94" t="s">
        <v>937</v>
      </c>
      <c r="D294" s="94" t="s">
        <v>1089</v>
      </c>
      <c r="E294" s="94" t="s">
        <v>955</v>
      </c>
      <c r="F294" s="95">
        <v>50</v>
      </c>
      <c r="G294" s="96">
        <v>1</v>
      </c>
      <c r="H294" s="94" t="s">
        <v>507</v>
      </c>
      <c r="I294" s="96">
        <v>1</v>
      </c>
      <c r="J294" s="97">
        <v>0.85</v>
      </c>
    </row>
    <row x14ac:dyDescent="0.25" r="295" customHeight="1" ht="18">
      <c r="A295" s="94" t="s">
        <v>952</v>
      </c>
      <c r="B295" s="94" t="s">
        <v>1107</v>
      </c>
      <c r="C295" s="94" t="s">
        <v>921</v>
      </c>
      <c r="D295" s="94" t="s">
        <v>1107</v>
      </c>
      <c r="E295" s="94" t="s">
        <v>955</v>
      </c>
      <c r="F295" s="95">
        <v>117.7821818181818</v>
      </c>
      <c r="G295" s="96">
        <v>1</v>
      </c>
      <c r="H295" s="94" t="s">
        <v>1108</v>
      </c>
      <c r="I295" s="96">
        <v>1</v>
      </c>
      <c r="J295" s="97">
        <v>0.85</v>
      </c>
    </row>
    <row x14ac:dyDescent="0.25" r="296" customHeight="1" ht="18">
      <c r="A296" s="94" t="s">
        <v>952</v>
      </c>
      <c r="B296" s="94" t="s">
        <v>1107</v>
      </c>
      <c r="C296" s="94" t="s">
        <v>922</v>
      </c>
      <c r="D296" s="94" t="s">
        <v>1107</v>
      </c>
      <c r="E296" s="94" t="s">
        <v>955</v>
      </c>
      <c r="F296" s="95">
        <v>117.7821818181818</v>
      </c>
      <c r="G296" s="96">
        <v>1</v>
      </c>
      <c r="H296" s="94" t="s">
        <v>1108</v>
      </c>
      <c r="I296" s="96">
        <v>1</v>
      </c>
      <c r="J296" s="97">
        <v>0.85</v>
      </c>
    </row>
    <row x14ac:dyDescent="0.25" r="297" customHeight="1" ht="18">
      <c r="A297" s="94" t="s">
        <v>952</v>
      </c>
      <c r="B297" s="94" t="s">
        <v>1107</v>
      </c>
      <c r="C297" s="94" t="s">
        <v>923</v>
      </c>
      <c r="D297" s="94" t="s">
        <v>1107</v>
      </c>
      <c r="E297" s="94" t="s">
        <v>955</v>
      </c>
      <c r="F297" s="95">
        <v>117.7821818181818</v>
      </c>
      <c r="G297" s="96">
        <v>1</v>
      </c>
      <c r="H297" s="94" t="s">
        <v>1108</v>
      </c>
      <c r="I297" s="96">
        <v>1</v>
      </c>
      <c r="J297" s="97">
        <v>0.85</v>
      </c>
    </row>
    <row x14ac:dyDescent="0.25" r="298" customHeight="1" ht="18">
      <c r="A298" s="94" t="s">
        <v>952</v>
      </c>
      <c r="B298" s="94" t="s">
        <v>1107</v>
      </c>
      <c r="C298" s="94" t="s">
        <v>936</v>
      </c>
      <c r="D298" s="94" t="s">
        <v>1087</v>
      </c>
      <c r="E298" s="94" t="s">
        <v>955</v>
      </c>
      <c r="F298" s="95">
        <v>40</v>
      </c>
      <c r="G298" s="96">
        <v>1</v>
      </c>
      <c r="H298" s="94" t="s">
        <v>1108</v>
      </c>
      <c r="I298" s="96">
        <v>1</v>
      </c>
      <c r="J298" s="97">
        <v>0.85</v>
      </c>
    </row>
    <row x14ac:dyDescent="0.25" r="299" customHeight="1" ht="18">
      <c r="A299" s="94" t="s">
        <v>952</v>
      </c>
      <c r="B299" s="94" t="s">
        <v>1107</v>
      </c>
      <c r="C299" s="94" t="s">
        <v>936</v>
      </c>
      <c r="D299" s="94" t="s">
        <v>1089</v>
      </c>
      <c r="E299" s="94" t="s">
        <v>955</v>
      </c>
      <c r="F299" s="95">
        <v>28</v>
      </c>
      <c r="G299" s="96">
        <v>1</v>
      </c>
      <c r="H299" s="94" t="s">
        <v>1108</v>
      </c>
      <c r="I299" s="96">
        <v>1</v>
      </c>
      <c r="J299" s="97">
        <v>0.85</v>
      </c>
    </row>
    <row x14ac:dyDescent="0.25" r="300" customHeight="1" ht="18">
      <c r="A300" s="94" t="s">
        <v>952</v>
      </c>
      <c r="B300" s="94" t="s">
        <v>1107</v>
      </c>
      <c r="C300" s="94" t="s">
        <v>936</v>
      </c>
      <c r="D300" s="94" t="s">
        <v>1091</v>
      </c>
      <c r="E300" s="94" t="s">
        <v>955</v>
      </c>
      <c r="F300" s="95">
        <v>30</v>
      </c>
      <c r="G300" s="96">
        <v>1</v>
      </c>
      <c r="H300" s="94" t="s">
        <v>1108</v>
      </c>
      <c r="I300" s="96">
        <v>1</v>
      </c>
      <c r="J300" s="97">
        <v>0.85</v>
      </c>
    </row>
    <row x14ac:dyDescent="0.25" r="301" customHeight="1" ht="18">
      <c r="A301" s="94" t="s">
        <v>952</v>
      </c>
      <c r="B301" s="94" t="s">
        <v>1107</v>
      </c>
      <c r="C301" s="94" t="s">
        <v>936</v>
      </c>
      <c r="D301" s="94" t="s">
        <v>1093</v>
      </c>
      <c r="E301" s="94" t="s">
        <v>955</v>
      </c>
      <c r="F301" s="95">
        <v>33</v>
      </c>
      <c r="G301" s="96">
        <v>1</v>
      </c>
      <c r="H301" s="94" t="s">
        <v>1108</v>
      </c>
      <c r="I301" s="96">
        <v>1</v>
      </c>
      <c r="J301" s="97">
        <v>0.85</v>
      </c>
    </row>
    <row x14ac:dyDescent="0.25" r="302" customHeight="1" ht="18">
      <c r="A302" s="94" t="s">
        <v>952</v>
      </c>
      <c r="B302" s="94" t="s">
        <v>1107</v>
      </c>
      <c r="C302" s="94" t="s">
        <v>936</v>
      </c>
      <c r="D302" s="94" t="s">
        <v>1095</v>
      </c>
      <c r="E302" s="94" t="s">
        <v>955</v>
      </c>
      <c r="F302" s="95">
        <v>9</v>
      </c>
      <c r="G302" s="96">
        <v>1</v>
      </c>
      <c r="H302" s="94" t="s">
        <v>1108</v>
      </c>
      <c r="I302" s="96">
        <v>1</v>
      </c>
      <c r="J302" s="97">
        <v>0.85</v>
      </c>
    </row>
    <row x14ac:dyDescent="0.25" r="303" customHeight="1" ht="18">
      <c r="A303" s="94" t="s">
        <v>952</v>
      </c>
      <c r="B303" s="94" t="s">
        <v>1107</v>
      </c>
      <c r="C303" s="94" t="s">
        <v>937</v>
      </c>
      <c r="D303" s="94" t="s">
        <v>1087</v>
      </c>
      <c r="E303" s="94" t="s">
        <v>955</v>
      </c>
      <c r="F303" s="95">
        <v>40</v>
      </c>
      <c r="G303" s="96">
        <v>1</v>
      </c>
      <c r="H303" s="94" t="s">
        <v>1108</v>
      </c>
      <c r="I303" s="96">
        <v>1</v>
      </c>
      <c r="J303" s="97">
        <v>0.85</v>
      </c>
    </row>
    <row x14ac:dyDescent="0.25" r="304" customHeight="1" ht="18">
      <c r="A304" s="94" t="s">
        <v>952</v>
      </c>
      <c r="B304" s="94" t="s">
        <v>1107</v>
      </c>
      <c r="C304" s="94" t="s">
        <v>937</v>
      </c>
      <c r="D304" s="94" t="s">
        <v>1089</v>
      </c>
      <c r="E304" s="94" t="s">
        <v>955</v>
      </c>
      <c r="F304" s="95">
        <v>28</v>
      </c>
      <c r="G304" s="96">
        <v>1</v>
      </c>
      <c r="H304" s="94" t="s">
        <v>1108</v>
      </c>
      <c r="I304" s="96">
        <v>1</v>
      </c>
      <c r="J304" s="97">
        <v>0.85</v>
      </c>
    </row>
    <row x14ac:dyDescent="0.25" r="305" customHeight="1" ht="18">
      <c r="A305" s="94" t="s">
        <v>952</v>
      </c>
      <c r="B305" s="94" t="s">
        <v>1107</v>
      </c>
      <c r="C305" s="94" t="s">
        <v>937</v>
      </c>
      <c r="D305" s="94" t="s">
        <v>1091</v>
      </c>
      <c r="E305" s="94" t="s">
        <v>955</v>
      </c>
      <c r="F305" s="95">
        <v>30</v>
      </c>
      <c r="G305" s="96">
        <v>1</v>
      </c>
      <c r="H305" s="94" t="s">
        <v>1108</v>
      </c>
      <c r="I305" s="96">
        <v>1</v>
      </c>
      <c r="J305" s="97">
        <v>0.85</v>
      </c>
    </row>
    <row x14ac:dyDescent="0.25" r="306" customHeight="1" ht="18">
      <c r="A306" s="94" t="s">
        <v>952</v>
      </c>
      <c r="B306" s="94" t="s">
        <v>1107</v>
      </c>
      <c r="C306" s="94" t="s">
        <v>937</v>
      </c>
      <c r="D306" s="94" t="s">
        <v>1097</v>
      </c>
      <c r="E306" s="94" t="s">
        <v>955</v>
      </c>
      <c r="F306" s="95">
        <v>33</v>
      </c>
      <c r="G306" s="96">
        <v>1</v>
      </c>
      <c r="H306" s="94" t="s">
        <v>1108</v>
      </c>
      <c r="I306" s="96">
        <v>1</v>
      </c>
      <c r="J306" s="97">
        <v>0.85</v>
      </c>
    </row>
    <row x14ac:dyDescent="0.25" r="307" customHeight="1" ht="18">
      <c r="A307" s="94" t="s">
        <v>952</v>
      </c>
      <c r="B307" s="94" t="s">
        <v>1107</v>
      </c>
      <c r="C307" s="94" t="s">
        <v>937</v>
      </c>
      <c r="D307" s="94" t="s">
        <v>1095</v>
      </c>
      <c r="E307" s="94" t="s">
        <v>955</v>
      </c>
      <c r="F307" s="95">
        <v>9</v>
      </c>
      <c r="G307" s="96">
        <v>1</v>
      </c>
      <c r="H307" s="94" t="s">
        <v>1108</v>
      </c>
      <c r="I307" s="96">
        <v>1</v>
      </c>
      <c r="J307" s="97">
        <v>0.85</v>
      </c>
    </row>
    <row x14ac:dyDescent="0.25" r="308" customHeight="1" ht="18">
      <c r="A308" s="94" t="s">
        <v>952</v>
      </c>
      <c r="B308" s="94" t="s">
        <v>1107</v>
      </c>
      <c r="C308" s="94" t="s">
        <v>942</v>
      </c>
      <c r="D308" s="94" t="s">
        <v>1049</v>
      </c>
      <c r="E308" s="94" t="s">
        <v>955</v>
      </c>
      <c r="F308" s="95">
        <v>80</v>
      </c>
      <c r="G308" s="96">
        <v>1</v>
      </c>
      <c r="H308" s="94" t="s">
        <v>1108</v>
      </c>
      <c r="I308" s="96">
        <v>1</v>
      </c>
      <c r="J308" s="97">
        <v>0.85</v>
      </c>
    </row>
    <row x14ac:dyDescent="0.25" r="309" customHeight="1" ht="18">
      <c r="A309" s="94" t="s">
        <v>952</v>
      </c>
      <c r="B309" s="94" t="s">
        <v>1107</v>
      </c>
      <c r="C309" s="94" t="s">
        <v>942</v>
      </c>
      <c r="D309" s="94" t="s">
        <v>1050</v>
      </c>
      <c r="E309" s="94" t="s">
        <v>955</v>
      </c>
      <c r="F309" s="95">
        <v>10</v>
      </c>
      <c r="G309" s="96">
        <v>1</v>
      </c>
      <c r="H309" s="94" t="s">
        <v>1108</v>
      </c>
      <c r="I309" s="96">
        <v>1</v>
      </c>
      <c r="J309" s="97">
        <v>0.85</v>
      </c>
    </row>
    <row x14ac:dyDescent="0.25" r="310" customHeight="1" ht="18">
      <c r="A310" s="94" t="s">
        <v>952</v>
      </c>
      <c r="B310" s="94" t="s">
        <v>1107</v>
      </c>
      <c r="C310" s="94" t="s">
        <v>941</v>
      </c>
      <c r="D310" s="94" t="s">
        <v>941</v>
      </c>
      <c r="E310" s="94" t="s">
        <v>955</v>
      </c>
      <c r="F310" s="95">
        <v>80</v>
      </c>
      <c r="G310" s="96">
        <v>1</v>
      </c>
      <c r="H310" s="94" t="s">
        <v>1108</v>
      </c>
      <c r="I310" s="96">
        <v>1</v>
      </c>
      <c r="J310" s="97">
        <v>0.85</v>
      </c>
    </row>
    <row x14ac:dyDescent="0.25" r="311" customHeight="1" ht="18">
      <c r="A311" s="94" t="s">
        <v>952</v>
      </c>
      <c r="B311" s="94" t="s">
        <v>1107</v>
      </c>
      <c r="C311" s="94" t="s">
        <v>1032</v>
      </c>
      <c r="D311" s="94" t="s">
        <v>1049</v>
      </c>
      <c r="E311" s="94" t="s">
        <v>955</v>
      </c>
      <c r="F311" s="95">
        <v>80</v>
      </c>
      <c r="G311" s="96">
        <v>1</v>
      </c>
      <c r="H311" s="94" t="s">
        <v>1108</v>
      </c>
      <c r="I311" s="96">
        <v>1</v>
      </c>
      <c r="J311" s="97">
        <v>0.85</v>
      </c>
    </row>
    <row x14ac:dyDescent="0.25" r="312" customHeight="1" ht="18">
      <c r="A312" s="94" t="s">
        <v>952</v>
      </c>
      <c r="B312" s="94" t="s">
        <v>1107</v>
      </c>
      <c r="C312" s="94" t="s">
        <v>1032</v>
      </c>
      <c r="D312" s="94" t="s">
        <v>1050</v>
      </c>
      <c r="E312" s="94" t="s">
        <v>955</v>
      </c>
      <c r="F312" s="95">
        <v>20</v>
      </c>
      <c r="G312" s="96">
        <v>1</v>
      </c>
      <c r="H312" s="94" t="s">
        <v>1108</v>
      </c>
      <c r="I312" s="96">
        <v>1</v>
      </c>
      <c r="J312" s="97">
        <v>0.85</v>
      </c>
    </row>
    <row x14ac:dyDescent="0.25" r="313" customHeight="1" ht="18">
      <c r="A313" s="94" t="s">
        <v>952</v>
      </c>
      <c r="B313" s="94" t="s">
        <v>1107</v>
      </c>
      <c r="C313" s="94" t="s">
        <v>1032</v>
      </c>
      <c r="D313" s="94" t="s">
        <v>1053</v>
      </c>
      <c r="E313" s="94" t="s">
        <v>955</v>
      </c>
      <c r="F313" s="95">
        <v>10</v>
      </c>
      <c r="G313" s="96">
        <v>1</v>
      </c>
      <c r="H313" s="94" t="s">
        <v>1108</v>
      </c>
      <c r="I313" s="96">
        <v>1</v>
      </c>
      <c r="J313" s="97">
        <v>0.85</v>
      </c>
    </row>
    <row x14ac:dyDescent="0.25" r="314" customHeight="1" ht="18">
      <c r="A314" s="94" t="s">
        <v>952</v>
      </c>
      <c r="B314" s="94" t="s">
        <v>1107</v>
      </c>
      <c r="C314" s="94" t="s">
        <v>1033</v>
      </c>
      <c r="D314" s="94" t="s">
        <v>1049</v>
      </c>
      <c r="E314" s="94" t="s">
        <v>955</v>
      </c>
      <c r="F314" s="95">
        <v>80</v>
      </c>
      <c r="G314" s="96">
        <v>1</v>
      </c>
      <c r="H314" s="94" t="s">
        <v>1108</v>
      </c>
      <c r="I314" s="96">
        <v>1</v>
      </c>
      <c r="J314" s="97">
        <v>0.85</v>
      </c>
    </row>
    <row x14ac:dyDescent="0.25" r="315" customHeight="1" ht="18">
      <c r="A315" s="94" t="s">
        <v>952</v>
      </c>
      <c r="B315" s="94" t="s">
        <v>1107</v>
      </c>
      <c r="C315" s="94" t="s">
        <v>1033</v>
      </c>
      <c r="D315" s="94" t="s">
        <v>1050</v>
      </c>
      <c r="E315" s="94" t="s">
        <v>955</v>
      </c>
      <c r="F315" s="95">
        <v>10</v>
      </c>
      <c r="G315" s="96">
        <v>1</v>
      </c>
      <c r="H315" s="94" t="s">
        <v>1108</v>
      </c>
      <c r="I315" s="96">
        <v>1</v>
      </c>
      <c r="J315" s="97">
        <v>0.85</v>
      </c>
    </row>
    <row x14ac:dyDescent="0.25" r="316" customHeight="1" ht="18">
      <c r="A316" s="94" t="s">
        <v>952</v>
      </c>
      <c r="B316" s="94" t="s">
        <v>1107</v>
      </c>
      <c r="C316" s="94" t="s">
        <v>1033</v>
      </c>
      <c r="D316" s="94" t="s">
        <v>1053</v>
      </c>
      <c r="E316" s="94" t="s">
        <v>955</v>
      </c>
      <c r="F316" s="95">
        <v>0</v>
      </c>
      <c r="G316" s="96">
        <v>1</v>
      </c>
      <c r="H316" s="94" t="s">
        <v>1108</v>
      </c>
      <c r="I316" s="96">
        <v>1</v>
      </c>
      <c r="J316" s="97">
        <v>0.85</v>
      </c>
    </row>
    <row x14ac:dyDescent="0.25" r="317" customHeight="1" ht="18">
      <c r="A317" s="94" t="s">
        <v>952</v>
      </c>
      <c r="B317" s="94" t="s">
        <v>1109</v>
      </c>
      <c r="C317" s="94" t="s">
        <v>921</v>
      </c>
      <c r="D317" s="94" t="s">
        <v>1109</v>
      </c>
      <c r="E317" s="94" t="s">
        <v>955</v>
      </c>
      <c r="F317" s="95">
        <v>71.97800000000001</v>
      </c>
      <c r="G317" s="96">
        <v>1</v>
      </c>
      <c r="H317" s="94" t="s">
        <v>1110</v>
      </c>
      <c r="I317" s="96">
        <v>1</v>
      </c>
      <c r="J317" s="97">
        <v>0.85</v>
      </c>
    </row>
    <row x14ac:dyDescent="0.25" r="318" customHeight="1" ht="18">
      <c r="A318" s="94" t="s">
        <v>952</v>
      </c>
      <c r="B318" s="94" t="s">
        <v>1109</v>
      </c>
      <c r="C318" s="94" t="s">
        <v>922</v>
      </c>
      <c r="D318" s="94" t="s">
        <v>1109</v>
      </c>
      <c r="E318" s="94" t="s">
        <v>955</v>
      </c>
      <c r="F318" s="95">
        <v>71.97800000000001</v>
      </c>
      <c r="G318" s="96">
        <v>1</v>
      </c>
      <c r="H318" s="94" t="s">
        <v>1110</v>
      </c>
      <c r="I318" s="96">
        <v>1</v>
      </c>
      <c r="J318" s="97">
        <v>0.85</v>
      </c>
    </row>
    <row x14ac:dyDescent="0.25" r="319" customHeight="1" ht="18">
      <c r="A319" s="94" t="s">
        <v>952</v>
      </c>
      <c r="B319" s="94" t="s">
        <v>1109</v>
      </c>
      <c r="C319" s="94" t="s">
        <v>923</v>
      </c>
      <c r="D319" s="94" t="s">
        <v>1109</v>
      </c>
      <c r="E319" s="94" t="s">
        <v>955</v>
      </c>
      <c r="F319" s="95">
        <v>71.97800000000001</v>
      </c>
      <c r="G319" s="96">
        <v>1</v>
      </c>
      <c r="H319" s="94" t="s">
        <v>1110</v>
      </c>
      <c r="I319" s="96">
        <v>1</v>
      </c>
      <c r="J319" s="97">
        <v>0.85</v>
      </c>
    </row>
    <row x14ac:dyDescent="0.25" r="320" customHeight="1" ht="18">
      <c r="A320" s="94" t="s">
        <v>952</v>
      </c>
      <c r="B320" s="94" t="s">
        <v>1109</v>
      </c>
      <c r="C320" s="94" t="s">
        <v>929</v>
      </c>
      <c r="D320" s="94" t="s">
        <v>1064</v>
      </c>
      <c r="E320" s="94" t="s">
        <v>955</v>
      </c>
      <c r="F320" s="95">
        <v>10.9</v>
      </c>
      <c r="G320" s="96">
        <v>1</v>
      </c>
      <c r="H320" s="94" t="s">
        <v>1110</v>
      </c>
      <c r="I320" s="96">
        <v>1</v>
      </c>
      <c r="J320" s="97">
        <v>0.85</v>
      </c>
    </row>
    <row x14ac:dyDescent="0.25" r="321" customHeight="1" ht="18">
      <c r="A321" s="94" t="s">
        <v>952</v>
      </c>
      <c r="B321" s="94" t="s">
        <v>1109</v>
      </c>
      <c r="C321" s="94" t="s">
        <v>929</v>
      </c>
      <c r="D321" s="94" t="s">
        <v>1065</v>
      </c>
      <c r="E321" s="94" t="s">
        <v>955</v>
      </c>
      <c r="F321" s="95">
        <v>20.7</v>
      </c>
      <c r="G321" s="96">
        <v>1</v>
      </c>
      <c r="H321" s="94" t="s">
        <v>1110</v>
      </c>
      <c r="I321" s="96">
        <v>1</v>
      </c>
      <c r="J321" s="97">
        <v>0.85</v>
      </c>
    </row>
    <row x14ac:dyDescent="0.25" r="322" customHeight="1" ht="18">
      <c r="A322" s="94" t="s">
        <v>952</v>
      </c>
      <c r="B322" s="94" t="s">
        <v>1109</v>
      </c>
      <c r="C322" s="94" t="s">
        <v>929</v>
      </c>
      <c r="D322" s="94" t="s">
        <v>1067</v>
      </c>
      <c r="E322" s="94" t="s">
        <v>955</v>
      </c>
      <c r="F322" s="95">
        <v>33.52</v>
      </c>
      <c r="G322" s="96">
        <v>1</v>
      </c>
      <c r="H322" s="94" t="s">
        <v>1110</v>
      </c>
      <c r="I322" s="96">
        <v>1</v>
      </c>
      <c r="J322" s="97">
        <v>0.85</v>
      </c>
    </row>
    <row x14ac:dyDescent="0.25" r="323" customHeight="1" ht="18">
      <c r="A323" s="94" t="s">
        <v>952</v>
      </c>
      <c r="B323" s="94" t="s">
        <v>1109</v>
      </c>
      <c r="C323" s="94" t="s">
        <v>929</v>
      </c>
      <c r="D323" s="94" t="s">
        <v>1069</v>
      </c>
      <c r="E323" s="94" t="s">
        <v>955</v>
      </c>
      <c r="F323" s="95">
        <v>27.52</v>
      </c>
      <c r="G323" s="96">
        <v>1</v>
      </c>
      <c r="H323" s="94" t="s">
        <v>1110</v>
      </c>
      <c r="I323" s="96">
        <v>1</v>
      </c>
      <c r="J323" s="97">
        <v>0.85</v>
      </c>
    </row>
    <row x14ac:dyDescent="0.25" r="324" customHeight="1" ht="18">
      <c r="A324" s="94" t="s">
        <v>952</v>
      </c>
      <c r="B324" s="94" t="s">
        <v>1109</v>
      </c>
      <c r="C324" s="94" t="s">
        <v>929</v>
      </c>
      <c r="D324" s="94" t="s">
        <v>1071</v>
      </c>
      <c r="E324" s="94" t="s">
        <v>955</v>
      </c>
      <c r="F324" s="95">
        <v>30.36</v>
      </c>
      <c r="G324" s="96">
        <v>1</v>
      </c>
      <c r="H324" s="94" t="s">
        <v>1110</v>
      </c>
      <c r="I324" s="96">
        <v>1</v>
      </c>
      <c r="J324" s="97">
        <v>0.85</v>
      </c>
    </row>
    <row x14ac:dyDescent="0.25" r="325" customHeight="1" ht="18">
      <c r="A325" s="94" t="s">
        <v>952</v>
      </c>
      <c r="B325" s="94" t="s">
        <v>1109</v>
      </c>
      <c r="C325" s="94" t="s">
        <v>929</v>
      </c>
      <c r="D325" s="94" t="s">
        <v>1073</v>
      </c>
      <c r="E325" s="94" t="s">
        <v>955</v>
      </c>
      <c r="F325" s="95">
        <v>10.9</v>
      </c>
      <c r="G325" s="96">
        <v>1</v>
      </c>
      <c r="H325" s="94" t="s">
        <v>1110</v>
      </c>
      <c r="I325" s="96">
        <v>1</v>
      </c>
      <c r="J325" s="97">
        <v>0.85</v>
      </c>
    </row>
    <row x14ac:dyDescent="0.25" r="326" customHeight="1" ht="18">
      <c r="A326" s="94" t="s">
        <v>952</v>
      </c>
      <c r="B326" s="94" t="s">
        <v>1109</v>
      </c>
      <c r="C326" s="94" t="s">
        <v>930</v>
      </c>
      <c r="D326" s="94" t="s">
        <v>1064</v>
      </c>
      <c r="E326" s="94" t="s">
        <v>955</v>
      </c>
      <c r="F326" s="95">
        <v>10.9</v>
      </c>
      <c r="G326" s="96">
        <v>1</v>
      </c>
      <c r="H326" s="94" t="s">
        <v>1110</v>
      </c>
      <c r="I326" s="96">
        <v>1</v>
      </c>
      <c r="J326" s="97">
        <v>0.85</v>
      </c>
    </row>
    <row x14ac:dyDescent="0.25" r="327" customHeight="1" ht="18">
      <c r="A327" s="94" t="s">
        <v>952</v>
      </c>
      <c r="B327" s="94" t="s">
        <v>1109</v>
      </c>
      <c r="C327" s="94" t="s">
        <v>930</v>
      </c>
      <c r="D327" s="94" t="s">
        <v>1065</v>
      </c>
      <c r="E327" s="94" t="s">
        <v>955</v>
      </c>
      <c r="F327" s="95">
        <v>20.7</v>
      </c>
      <c r="G327" s="96">
        <v>1</v>
      </c>
      <c r="H327" s="94" t="s">
        <v>1110</v>
      </c>
      <c r="I327" s="96">
        <v>1</v>
      </c>
      <c r="J327" s="97">
        <v>0.85</v>
      </c>
    </row>
    <row x14ac:dyDescent="0.25" r="328" customHeight="1" ht="18">
      <c r="A328" s="94" t="s">
        <v>952</v>
      </c>
      <c r="B328" s="94" t="s">
        <v>1109</v>
      </c>
      <c r="C328" s="94" t="s">
        <v>930</v>
      </c>
      <c r="D328" s="94" t="s">
        <v>1067</v>
      </c>
      <c r="E328" s="94" t="s">
        <v>955</v>
      </c>
      <c r="F328" s="95">
        <v>33.52</v>
      </c>
      <c r="G328" s="96">
        <v>1</v>
      </c>
      <c r="H328" s="94" t="s">
        <v>1110</v>
      </c>
      <c r="I328" s="96">
        <v>1</v>
      </c>
      <c r="J328" s="97">
        <v>0.85</v>
      </c>
    </row>
    <row x14ac:dyDescent="0.25" r="329" customHeight="1" ht="18">
      <c r="A329" s="94" t="s">
        <v>952</v>
      </c>
      <c r="B329" s="94" t="s">
        <v>1109</v>
      </c>
      <c r="C329" s="94" t="s">
        <v>930</v>
      </c>
      <c r="D329" s="94" t="s">
        <v>1069</v>
      </c>
      <c r="E329" s="94" t="s">
        <v>955</v>
      </c>
      <c r="F329" s="95">
        <v>27.52</v>
      </c>
      <c r="G329" s="96">
        <v>1</v>
      </c>
      <c r="H329" s="94" t="s">
        <v>1110</v>
      </c>
      <c r="I329" s="96">
        <v>1</v>
      </c>
      <c r="J329" s="97">
        <v>0.85</v>
      </c>
    </row>
    <row x14ac:dyDescent="0.25" r="330" customHeight="1" ht="18">
      <c r="A330" s="94" t="s">
        <v>952</v>
      </c>
      <c r="B330" s="94" t="s">
        <v>1109</v>
      </c>
      <c r="C330" s="94" t="s">
        <v>930</v>
      </c>
      <c r="D330" s="94" t="s">
        <v>1071</v>
      </c>
      <c r="E330" s="94" t="s">
        <v>955</v>
      </c>
      <c r="F330" s="95">
        <v>30.36</v>
      </c>
      <c r="G330" s="96">
        <v>1</v>
      </c>
      <c r="H330" s="94" t="s">
        <v>1110</v>
      </c>
      <c r="I330" s="96">
        <v>1</v>
      </c>
      <c r="J330" s="97">
        <v>0.85</v>
      </c>
    </row>
    <row x14ac:dyDescent="0.25" r="331" customHeight="1" ht="18">
      <c r="A331" s="94" t="s">
        <v>952</v>
      </c>
      <c r="B331" s="94" t="s">
        <v>1109</v>
      </c>
      <c r="C331" s="94" t="s">
        <v>930</v>
      </c>
      <c r="D331" s="94" t="s">
        <v>1073</v>
      </c>
      <c r="E331" s="94" t="s">
        <v>955</v>
      </c>
      <c r="F331" s="95">
        <v>10.9</v>
      </c>
      <c r="G331" s="96">
        <v>1</v>
      </c>
      <c r="H331" s="94" t="s">
        <v>1110</v>
      </c>
      <c r="I331" s="96">
        <v>1</v>
      </c>
      <c r="J331" s="97">
        <v>0.85</v>
      </c>
    </row>
    <row x14ac:dyDescent="0.25" r="332" customHeight="1" ht="18">
      <c r="A332" s="94" t="s">
        <v>952</v>
      </c>
      <c r="B332" s="94" t="s">
        <v>1109</v>
      </c>
      <c r="C332" s="94" t="s">
        <v>936</v>
      </c>
      <c r="D332" s="94" t="s">
        <v>1087</v>
      </c>
      <c r="E332" s="94" t="s">
        <v>955</v>
      </c>
      <c r="F332" s="95">
        <v>10</v>
      </c>
      <c r="G332" s="96">
        <v>1</v>
      </c>
      <c r="H332" s="94" t="s">
        <v>1110</v>
      </c>
      <c r="I332" s="96">
        <v>1</v>
      </c>
      <c r="J332" s="97">
        <v>0.85</v>
      </c>
    </row>
    <row x14ac:dyDescent="0.25" r="333" customHeight="1" ht="18">
      <c r="A333" s="94" t="s">
        <v>952</v>
      </c>
      <c r="B333" s="94" t="s">
        <v>1109</v>
      </c>
      <c r="C333" s="94" t="s">
        <v>936</v>
      </c>
      <c r="D333" s="94" t="s">
        <v>1089</v>
      </c>
      <c r="E333" s="94" t="s">
        <v>955</v>
      </c>
      <c r="F333" s="95">
        <v>13</v>
      </c>
      <c r="G333" s="96">
        <v>1</v>
      </c>
      <c r="H333" s="94" t="s">
        <v>1110</v>
      </c>
      <c r="I333" s="96">
        <v>1</v>
      </c>
      <c r="J333" s="97">
        <v>0.85</v>
      </c>
    </row>
    <row x14ac:dyDescent="0.25" r="334" customHeight="1" ht="18">
      <c r="A334" s="94" t="s">
        <v>952</v>
      </c>
      <c r="B334" s="94" t="s">
        <v>1109</v>
      </c>
      <c r="C334" s="94" t="s">
        <v>936</v>
      </c>
      <c r="D334" s="94" t="s">
        <v>1091</v>
      </c>
      <c r="E334" s="94" t="s">
        <v>955</v>
      </c>
      <c r="F334" s="95">
        <v>15</v>
      </c>
      <c r="G334" s="96">
        <v>1</v>
      </c>
      <c r="H334" s="94" t="s">
        <v>1110</v>
      </c>
      <c r="I334" s="96">
        <v>1</v>
      </c>
      <c r="J334" s="97">
        <v>0.85</v>
      </c>
    </row>
    <row x14ac:dyDescent="0.25" r="335" customHeight="1" ht="18">
      <c r="A335" s="94" t="s">
        <v>952</v>
      </c>
      <c r="B335" s="94" t="s">
        <v>1109</v>
      </c>
      <c r="C335" s="94" t="s">
        <v>936</v>
      </c>
      <c r="D335" s="94" t="s">
        <v>1093</v>
      </c>
      <c r="E335" s="94" t="s">
        <v>955</v>
      </c>
      <c r="F335" s="95">
        <v>13</v>
      </c>
      <c r="G335" s="96">
        <v>1</v>
      </c>
      <c r="H335" s="94" t="s">
        <v>1110</v>
      </c>
      <c r="I335" s="96">
        <v>1</v>
      </c>
      <c r="J335" s="97">
        <v>0.85</v>
      </c>
    </row>
    <row x14ac:dyDescent="0.25" r="336" customHeight="1" ht="18">
      <c r="A336" s="94" t="s">
        <v>952</v>
      </c>
      <c r="B336" s="94" t="s">
        <v>1109</v>
      </c>
      <c r="C336" s="94" t="s">
        <v>936</v>
      </c>
      <c r="D336" s="94" t="s">
        <v>1095</v>
      </c>
      <c r="E336" s="94" t="s">
        <v>955</v>
      </c>
      <c r="F336" s="95">
        <v>8</v>
      </c>
      <c r="G336" s="96">
        <v>1</v>
      </c>
      <c r="H336" s="94" t="s">
        <v>1110</v>
      </c>
      <c r="I336" s="96">
        <v>1</v>
      </c>
      <c r="J336" s="97">
        <v>0.85</v>
      </c>
    </row>
    <row x14ac:dyDescent="0.25" r="337" customHeight="1" ht="18">
      <c r="A337" s="94" t="s">
        <v>952</v>
      </c>
      <c r="B337" s="94" t="s">
        <v>1109</v>
      </c>
      <c r="C337" s="94" t="s">
        <v>937</v>
      </c>
      <c r="D337" s="94" t="s">
        <v>1087</v>
      </c>
      <c r="E337" s="94" t="s">
        <v>955</v>
      </c>
      <c r="F337" s="95">
        <v>10</v>
      </c>
      <c r="G337" s="96">
        <v>1</v>
      </c>
      <c r="H337" s="94" t="s">
        <v>1110</v>
      </c>
      <c r="I337" s="96">
        <v>1</v>
      </c>
      <c r="J337" s="97">
        <v>0.85</v>
      </c>
    </row>
    <row x14ac:dyDescent="0.25" r="338" customHeight="1" ht="18">
      <c r="A338" s="94" t="s">
        <v>952</v>
      </c>
      <c r="B338" s="94" t="s">
        <v>1109</v>
      </c>
      <c r="C338" s="94" t="s">
        <v>937</v>
      </c>
      <c r="D338" s="94" t="s">
        <v>1089</v>
      </c>
      <c r="E338" s="94" t="s">
        <v>955</v>
      </c>
      <c r="F338" s="95">
        <v>13</v>
      </c>
      <c r="G338" s="96">
        <v>1</v>
      </c>
      <c r="H338" s="94" t="s">
        <v>1110</v>
      </c>
      <c r="I338" s="96">
        <v>1</v>
      </c>
      <c r="J338" s="97">
        <v>0.85</v>
      </c>
    </row>
    <row x14ac:dyDescent="0.25" r="339" customHeight="1" ht="18">
      <c r="A339" s="94" t="s">
        <v>952</v>
      </c>
      <c r="B339" s="94" t="s">
        <v>1109</v>
      </c>
      <c r="C339" s="94" t="s">
        <v>937</v>
      </c>
      <c r="D339" s="94" t="s">
        <v>1091</v>
      </c>
      <c r="E339" s="94" t="s">
        <v>955</v>
      </c>
      <c r="F339" s="95">
        <v>15</v>
      </c>
      <c r="G339" s="96">
        <v>1</v>
      </c>
      <c r="H339" s="94" t="s">
        <v>1110</v>
      </c>
      <c r="I339" s="96">
        <v>1</v>
      </c>
      <c r="J339" s="97">
        <v>0.85</v>
      </c>
    </row>
    <row x14ac:dyDescent="0.25" r="340" customHeight="1" ht="18">
      <c r="A340" s="94" t="s">
        <v>952</v>
      </c>
      <c r="B340" s="94" t="s">
        <v>1109</v>
      </c>
      <c r="C340" s="94" t="s">
        <v>937</v>
      </c>
      <c r="D340" s="94" t="s">
        <v>1097</v>
      </c>
      <c r="E340" s="94" t="s">
        <v>955</v>
      </c>
      <c r="F340" s="95">
        <v>13</v>
      </c>
      <c r="G340" s="96">
        <v>1</v>
      </c>
      <c r="H340" s="94" t="s">
        <v>1110</v>
      </c>
      <c r="I340" s="96">
        <v>1</v>
      </c>
      <c r="J340" s="97">
        <v>0.85</v>
      </c>
    </row>
    <row x14ac:dyDescent="0.25" r="341" customHeight="1" ht="18">
      <c r="A341" s="94" t="s">
        <v>952</v>
      </c>
      <c r="B341" s="94" t="s">
        <v>1109</v>
      </c>
      <c r="C341" s="94" t="s">
        <v>937</v>
      </c>
      <c r="D341" s="94" t="s">
        <v>1095</v>
      </c>
      <c r="E341" s="94" t="s">
        <v>955</v>
      </c>
      <c r="F341" s="95">
        <v>8</v>
      </c>
      <c r="G341" s="96">
        <v>1</v>
      </c>
      <c r="H341" s="94" t="s">
        <v>1110</v>
      </c>
      <c r="I341" s="96">
        <v>1</v>
      </c>
      <c r="J341" s="97">
        <v>0.85</v>
      </c>
    </row>
    <row x14ac:dyDescent="0.25" r="342" customHeight="1" ht="18">
      <c r="A342" s="94" t="s">
        <v>952</v>
      </c>
      <c r="B342" s="94" t="s">
        <v>1109</v>
      </c>
      <c r="C342" s="94" t="s">
        <v>942</v>
      </c>
      <c r="D342" s="94" t="s">
        <v>1050</v>
      </c>
      <c r="E342" s="94" t="s">
        <v>955</v>
      </c>
      <c r="F342" s="95">
        <v>30</v>
      </c>
      <c r="G342" s="96">
        <v>1</v>
      </c>
      <c r="H342" s="94" t="s">
        <v>1110</v>
      </c>
      <c r="I342" s="96">
        <v>1</v>
      </c>
      <c r="J342" s="97">
        <v>0.85</v>
      </c>
    </row>
    <row x14ac:dyDescent="0.25" r="343" customHeight="1" ht="18">
      <c r="A343" s="94" t="s">
        <v>952</v>
      </c>
      <c r="B343" s="94" t="s">
        <v>1109</v>
      </c>
      <c r="C343" s="94" t="s">
        <v>941</v>
      </c>
      <c r="D343" s="94" t="s">
        <v>941</v>
      </c>
      <c r="E343" s="94" t="s">
        <v>955</v>
      </c>
      <c r="F343" s="96">
        <v>120</v>
      </c>
      <c r="G343" s="96">
        <v>1</v>
      </c>
      <c r="H343" s="94" t="s">
        <v>1110</v>
      </c>
      <c r="I343" s="96">
        <v>1</v>
      </c>
      <c r="J343" s="97">
        <v>0.85</v>
      </c>
    </row>
    <row x14ac:dyDescent="0.25" r="344" customHeight="1" ht="18">
      <c r="A344" s="94" t="s">
        <v>952</v>
      </c>
      <c r="B344" s="94" t="s">
        <v>1109</v>
      </c>
      <c r="C344" s="94" t="s">
        <v>1032</v>
      </c>
      <c r="D344" s="94" t="s">
        <v>1050</v>
      </c>
      <c r="E344" s="94" t="s">
        <v>955</v>
      </c>
      <c r="F344" s="95">
        <v>30</v>
      </c>
      <c r="G344" s="96">
        <v>1</v>
      </c>
      <c r="H344" s="94" t="s">
        <v>1110</v>
      </c>
      <c r="I344" s="96">
        <v>1</v>
      </c>
      <c r="J344" s="97">
        <v>0.85</v>
      </c>
    </row>
    <row x14ac:dyDescent="0.25" r="345" customHeight="1" ht="18">
      <c r="A345" s="94" t="s">
        <v>952</v>
      </c>
      <c r="B345" s="94" t="s">
        <v>1109</v>
      </c>
      <c r="C345" s="94" t="s">
        <v>1032</v>
      </c>
      <c r="D345" s="94" t="s">
        <v>1053</v>
      </c>
      <c r="E345" s="94" t="s">
        <v>955</v>
      </c>
      <c r="F345" s="95">
        <v>30</v>
      </c>
      <c r="G345" s="96">
        <v>1</v>
      </c>
      <c r="H345" s="94" t="s">
        <v>1110</v>
      </c>
      <c r="I345" s="96">
        <v>1</v>
      </c>
      <c r="J345" s="97">
        <v>0.85</v>
      </c>
    </row>
    <row x14ac:dyDescent="0.25" r="346" customHeight="1" ht="18">
      <c r="A346" s="94" t="s">
        <v>952</v>
      </c>
      <c r="B346" s="94" t="s">
        <v>1109</v>
      </c>
      <c r="C346" s="94" t="s">
        <v>1033</v>
      </c>
      <c r="D346" s="94" t="s">
        <v>1050</v>
      </c>
      <c r="E346" s="94" t="s">
        <v>955</v>
      </c>
      <c r="F346" s="95">
        <v>30</v>
      </c>
      <c r="G346" s="96">
        <v>1</v>
      </c>
      <c r="H346" s="94" t="s">
        <v>1110</v>
      </c>
      <c r="I346" s="96">
        <v>1</v>
      </c>
      <c r="J346" s="97">
        <v>0.85</v>
      </c>
    </row>
    <row x14ac:dyDescent="0.25" r="347" customHeight="1" ht="18">
      <c r="A347" s="94" t="s">
        <v>952</v>
      </c>
      <c r="B347" s="94" t="s">
        <v>1109</v>
      </c>
      <c r="C347" s="94" t="s">
        <v>1033</v>
      </c>
      <c r="D347" s="94" t="s">
        <v>1053</v>
      </c>
      <c r="E347" s="94" t="s">
        <v>955</v>
      </c>
      <c r="F347" s="95">
        <v>0</v>
      </c>
      <c r="G347" s="96">
        <v>1</v>
      </c>
      <c r="H347" s="94" t="s">
        <v>1110</v>
      </c>
      <c r="I347" s="96">
        <v>1</v>
      </c>
      <c r="J347" s="97">
        <v>0.85</v>
      </c>
    </row>
    <row x14ac:dyDescent="0.25" r="348" customHeight="1" ht="18">
      <c r="A348" s="94" t="s">
        <v>952</v>
      </c>
      <c r="B348" s="94" t="s">
        <v>1111</v>
      </c>
      <c r="C348" s="94" t="s">
        <v>923</v>
      </c>
      <c r="D348" s="94" t="s">
        <v>1112</v>
      </c>
      <c r="E348" s="94" t="s">
        <v>955</v>
      </c>
      <c r="F348" s="95">
        <v>44.98625000000001</v>
      </c>
      <c r="G348" s="96">
        <v>1</v>
      </c>
      <c r="H348" s="94" t="s">
        <v>1113</v>
      </c>
      <c r="I348" s="96">
        <v>1</v>
      </c>
      <c r="J348" s="97">
        <v>0.85</v>
      </c>
    </row>
    <row x14ac:dyDescent="0.25" r="349" customHeight="1" ht="18">
      <c r="A349" s="94" t="s">
        <v>952</v>
      </c>
      <c r="B349" s="94" t="s">
        <v>1111</v>
      </c>
      <c r="C349" s="94" t="s">
        <v>936</v>
      </c>
      <c r="D349" s="94" t="s">
        <v>1087</v>
      </c>
      <c r="E349" s="94" t="s">
        <v>955</v>
      </c>
      <c r="F349" s="95">
        <v>93.3</v>
      </c>
      <c r="G349" s="96">
        <v>1</v>
      </c>
      <c r="H349" s="94" t="s">
        <v>1113</v>
      </c>
      <c r="I349" s="96">
        <v>1</v>
      </c>
      <c r="J349" s="97">
        <v>0.85</v>
      </c>
    </row>
    <row x14ac:dyDescent="0.25" r="350" customHeight="1" ht="18">
      <c r="A350" s="94" t="s">
        <v>952</v>
      </c>
      <c r="B350" s="94" t="s">
        <v>1111</v>
      </c>
      <c r="C350" s="94" t="s">
        <v>937</v>
      </c>
      <c r="D350" s="94" t="s">
        <v>1087</v>
      </c>
      <c r="E350" s="94" t="s">
        <v>955</v>
      </c>
      <c r="F350" s="95">
        <v>93.3</v>
      </c>
      <c r="G350" s="96">
        <v>1</v>
      </c>
      <c r="H350" s="94" t="s">
        <v>1113</v>
      </c>
      <c r="I350" s="96">
        <v>1</v>
      </c>
      <c r="J350" s="97">
        <v>0.85</v>
      </c>
    </row>
    <row x14ac:dyDescent="0.25" r="351" customHeight="1" ht="18">
      <c r="A351" s="94" t="s">
        <v>952</v>
      </c>
      <c r="B351" s="94" t="s">
        <v>1111</v>
      </c>
      <c r="C351" s="94" t="s">
        <v>929</v>
      </c>
      <c r="D351" s="94" t="s">
        <v>1114</v>
      </c>
      <c r="E351" s="94" t="s">
        <v>955</v>
      </c>
      <c r="F351" s="95">
        <v>134.63</v>
      </c>
      <c r="G351" s="96">
        <v>1</v>
      </c>
      <c r="H351" s="94" t="s">
        <v>1113</v>
      </c>
      <c r="I351" s="96">
        <v>1</v>
      </c>
      <c r="J351" s="97">
        <v>0.85</v>
      </c>
    </row>
    <row x14ac:dyDescent="0.25" r="352" customHeight="1" ht="18">
      <c r="A352" s="94" t="s">
        <v>952</v>
      </c>
      <c r="B352" s="94" t="s">
        <v>1111</v>
      </c>
      <c r="C352" s="94" t="s">
        <v>929</v>
      </c>
      <c r="D352" s="94" t="s">
        <v>1115</v>
      </c>
      <c r="E352" s="94" t="s">
        <v>955</v>
      </c>
      <c r="F352" s="95">
        <v>72.41</v>
      </c>
      <c r="G352" s="96">
        <v>1</v>
      </c>
      <c r="H352" s="94" t="s">
        <v>1113</v>
      </c>
      <c r="I352" s="96">
        <v>1</v>
      </c>
      <c r="J352" s="97">
        <v>0.85</v>
      </c>
    </row>
    <row x14ac:dyDescent="0.25" r="353" customHeight="1" ht="18">
      <c r="A353" s="94" t="s">
        <v>952</v>
      </c>
      <c r="B353" s="94" t="s">
        <v>1111</v>
      </c>
      <c r="C353" s="94" t="s">
        <v>930</v>
      </c>
      <c r="D353" s="94" t="s">
        <v>1114</v>
      </c>
      <c r="E353" s="94" t="s">
        <v>955</v>
      </c>
      <c r="F353" s="95">
        <v>134.63</v>
      </c>
      <c r="G353" s="96">
        <v>1</v>
      </c>
      <c r="H353" s="94" t="s">
        <v>1113</v>
      </c>
      <c r="I353" s="96">
        <v>1</v>
      </c>
      <c r="J353" s="97">
        <v>0.85</v>
      </c>
    </row>
    <row x14ac:dyDescent="0.25" r="354" customHeight="1" ht="18">
      <c r="A354" s="94" t="s">
        <v>952</v>
      </c>
      <c r="B354" s="94" t="s">
        <v>1111</v>
      </c>
      <c r="C354" s="94" t="s">
        <v>930</v>
      </c>
      <c r="D354" s="94" t="s">
        <v>1115</v>
      </c>
      <c r="E354" s="94" t="s">
        <v>955</v>
      </c>
      <c r="F354" s="95">
        <v>72.41</v>
      </c>
      <c r="G354" s="96">
        <v>1</v>
      </c>
      <c r="H354" s="94" t="s">
        <v>1113</v>
      </c>
      <c r="I354" s="96">
        <v>1</v>
      </c>
      <c r="J354" s="97">
        <v>0.85</v>
      </c>
    </row>
    <row x14ac:dyDescent="0.25" r="355" customHeight="1" ht="18">
      <c r="A355" s="94" t="s">
        <v>952</v>
      </c>
      <c r="B355" s="94" t="s">
        <v>1111</v>
      </c>
      <c r="C355" s="94" t="s">
        <v>931</v>
      </c>
      <c r="D355" s="94" t="s">
        <v>1116</v>
      </c>
      <c r="E355" s="94" t="s">
        <v>955</v>
      </c>
      <c r="F355" s="95">
        <v>72.41</v>
      </c>
      <c r="G355" s="96">
        <v>1</v>
      </c>
      <c r="H355" s="94" t="s">
        <v>1113</v>
      </c>
      <c r="I355" s="96">
        <v>1</v>
      </c>
      <c r="J355" s="97">
        <v>0.85</v>
      </c>
    </row>
    <row x14ac:dyDescent="0.25" r="356" customHeight="1" ht="18">
      <c r="A356" s="94" t="s">
        <v>952</v>
      </c>
      <c r="B356" s="94" t="s">
        <v>1111</v>
      </c>
      <c r="C356" s="94" t="s">
        <v>933</v>
      </c>
      <c r="D356" s="94" t="s">
        <v>1117</v>
      </c>
      <c r="E356" s="94" t="s">
        <v>955</v>
      </c>
      <c r="F356" s="95">
        <v>72.41</v>
      </c>
      <c r="G356" s="96">
        <v>1</v>
      </c>
      <c r="H356" s="94" t="s">
        <v>1113</v>
      </c>
      <c r="I356" s="96">
        <v>1</v>
      </c>
      <c r="J356" s="97">
        <v>0.85</v>
      </c>
    </row>
    <row x14ac:dyDescent="0.25" r="357" customHeight="1" ht="18">
      <c r="A357" s="94" t="s">
        <v>952</v>
      </c>
      <c r="B357" s="94" t="s">
        <v>1111</v>
      </c>
      <c r="C357" s="94" t="s">
        <v>927</v>
      </c>
      <c r="D357" s="94" t="s">
        <v>1118</v>
      </c>
      <c r="E357" s="94" t="s">
        <v>955</v>
      </c>
      <c r="F357" s="95">
        <v>22.3</v>
      </c>
      <c r="G357" s="96">
        <v>1</v>
      </c>
      <c r="H357" s="94" t="s">
        <v>1113</v>
      </c>
      <c r="I357" s="96">
        <v>1</v>
      </c>
      <c r="J357" s="97">
        <v>0.85</v>
      </c>
    </row>
    <row x14ac:dyDescent="0.25" r="358" customHeight="1" ht="18">
      <c r="A358" s="94" t="s">
        <v>952</v>
      </c>
      <c r="B358" s="94" t="s">
        <v>1111</v>
      </c>
      <c r="C358" s="94" t="s">
        <v>942</v>
      </c>
      <c r="D358" s="94" t="s">
        <v>1119</v>
      </c>
      <c r="E358" s="94" t="s">
        <v>955</v>
      </c>
      <c r="F358" s="95">
        <v>108.2</v>
      </c>
      <c r="G358" s="96">
        <v>1</v>
      </c>
      <c r="H358" s="94" t="s">
        <v>1113</v>
      </c>
      <c r="I358" s="96">
        <v>1</v>
      </c>
      <c r="J358" s="97">
        <v>0.85</v>
      </c>
    </row>
    <row x14ac:dyDescent="0.25" r="359" customHeight="1" ht="18">
      <c r="A359" s="94" t="s">
        <v>952</v>
      </c>
      <c r="B359" s="94" t="s">
        <v>1111</v>
      </c>
      <c r="C359" s="94" t="s">
        <v>941</v>
      </c>
      <c r="D359" s="94" t="s">
        <v>941</v>
      </c>
      <c r="E359" s="94" t="s">
        <v>955</v>
      </c>
      <c r="F359" s="95">
        <v>73.5</v>
      </c>
      <c r="G359" s="96">
        <v>1</v>
      </c>
      <c r="H359" s="94" t="s">
        <v>1113</v>
      </c>
      <c r="I359" s="96">
        <v>1</v>
      </c>
      <c r="J359" s="97">
        <v>0.85</v>
      </c>
    </row>
    <row x14ac:dyDescent="0.25" r="360" customHeight="1" ht="18">
      <c r="A360" s="94" t="s">
        <v>952</v>
      </c>
      <c r="B360" s="94" t="s">
        <v>1111</v>
      </c>
      <c r="C360" s="94" t="s">
        <v>1032</v>
      </c>
      <c r="D360" s="94" t="s">
        <v>1120</v>
      </c>
      <c r="E360" s="94" t="s">
        <v>955</v>
      </c>
      <c r="F360" s="95">
        <v>35</v>
      </c>
      <c r="G360" s="96">
        <v>1</v>
      </c>
      <c r="H360" s="94" t="s">
        <v>1113</v>
      </c>
      <c r="I360" s="96">
        <v>1</v>
      </c>
      <c r="J360" s="97">
        <v>0.85</v>
      </c>
    </row>
    <row x14ac:dyDescent="0.25" r="361" customHeight="1" ht="18">
      <c r="A361" s="94" t="s">
        <v>952</v>
      </c>
      <c r="B361" s="94" t="s">
        <v>1111</v>
      </c>
      <c r="C361" s="94" t="s">
        <v>1033</v>
      </c>
      <c r="D361" s="94" t="s">
        <v>1121</v>
      </c>
      <c r="E361" s="94" t="s">
        <v>955</v>
      </c>
      <c r="F361" s="95">
        <v>35</v>
      </c>
      <c r="G361" s="96">
        <v>1</v>
      </c>
      <c r="H361" s="94" t="s">
        <v>1113</v>
      </c>
      <c r="I361" s="96">
        <v>1</v>
      </c>
      <c r="J361" s="97">
        <v>0.85</v>
      </c>
    </row>
    <row x14ac:dyDescent="0.25" r="362" customHeight="1" ht="18">
      <c r="A362" s="50" t="s">
        <v>952</v>
      </c>
      <c r="B362" s="50" t="s">
        <v>1122</v>
      </c>
      <c r="C362" s="50" t="s">
        <v>921</v>
      </c>
      <c r="D362" s="50" t="s">
        <v>1123</v>
      </c>
      <c r="E362" s="50" t="s">
        <v>955</v>
      </c>
      <c r="F362" s="51">
        <v>127.02</v>
      </c>
      <c r="G362" s="45">
        <v>1</v>
      </c>
      <c r="H362" s="50" t="s">
        <v>1124</v>
      </c>
      <c r="I362" s="45">
        <v>1</v>
      </c>
      <c r="J362" s="52">
        <v>0.85</v>
      </c>
    </row>
    <row x14ac:dyDescent="0.25" r="363" customHeight="1" ht="18">
      <c r="A363" s="50" t="s">
        <v>952</v>
      </c>
      <c r="B363" s="50" t="s">
        <v>1122</v>
      </c>
      <c r="C363" s="50" t="s">
        <v>922</v>
      </c>
      <c r="D363" s="50" t="s">
        <v>1123</v>
      </c>
      <c r="E363" s="50" t="s">
        <v>955</v>
      </c>
      <c r="F363" s="51">
        <v>127.02</v>
      </c>
      <c r="G363" s="45">
        <v>1</v>
      </c>
      <c r="H363" s="50" t="s">
        <v>1124</v>
      </c>
      <c r="I363" s="45">
        <v>1</v>
      </c>
      <c r="J363" s="52">
        <v>0.85</v>
      </c>
    </row>
    <row x14ac:dyDescent="0.25" r="364" customHeight="1" ht="18">
      <c r="A364" s="50" t="s">
        <v>952</v>
      </c>
      <c r="B364" s="50" t="s">
        <v>1122</v>
      </c>
      <c r="C364" s="50" t="s">
        <v>923</v>
      </c>
      <c r="D364" s="50" t="s">
        <v>1123</v>
      </c>
      <c r="E364" s="50" t="s">
        <v>955</v>
      </c>
      <c r="F364" s="51">
        <v>127.02</v>
      </c>
      <c r="G364" s="45">
        <v>1</v>
      </c>
      <c r="H364" s="50" t="s">
        <v>1124</v>
      </c>
      <c r="I364" s="45">
        <v>1</v>
      </c>
      <c r="J364" s="52">
        <v>0.85</v>
      </c>
    </row>
    <row x14ac:dyDescent="0.25" r="365" customHeight="1" ht="18">
      <c r="A365" s="50" t="s">
        <v>952</v>
      </c>
      <c r="B365" s="50" t="s">
        <v>1122</v>
      </c>
      <c r="C365" s="50" t="s">
        <v>921</v>
      </c>
      <c r="D365" s="50" t="s">
        <v>1125</v>
      </c>
      <c r="E365" s="50" t="s">
        <v>955</v>
      </c>
      <c r="F365" s="51">
        <v>127.02</v>
      </c>
      <c r="G365" s="45">
        <v>1</v>
      </c>
      <c r="H365" s="50" t="s">
        <v>1126</v>
      </c>
      <c r="I365" s="45">
        <v>1</v>
      </c>
      <c r="J365" s="52">
        <v>0.85</v>
      </c>
    </row>
    <row x14ac:dyDescent="0.25" r="366" customHeight="1" ht="18">
      <c r="A366" s="50" t="s">
        <v>952</v>
      </c>
      <c r="B366" s="50" t="s">
        <v>1122</v>
      </c>
      <c r="C366" s="50" t="s">
        <v>922</v>
      </c>
      <c r="D366" s="50" t="s">
        <v>1125</v>
      </c>
      <c r="E366" s="50" t="s">
        <v>955</v>
      </c>
      <c r="F366" s="51">
        <v>127.02</v>
      </c>
      <c r="G366" s="45">
        <v>1</v>
      </c>
      <c r="H366" s="50" t="s">
        <v>1126</v>
      </c>
      <c r="I366" s="45">
        <v>1</v>
      </c>
      <c r="J366" s="52">
        <v>0.85</v>
      </c>
    </row>
    <row x14ac:dyDescent="0.25" r="367" customHeight="1" ht="18">
      <c r="A367" s="50" t="s">
        <v>952</v>
      </c>
      <c r="B367" s="50" t="s">
        <v>1122</v>
      </c>
      <c r="C367" s="50" t="s">
        <v>923</v>
      </c>
      <c r="D367" s="50" t="s">
        <v>1125</v>
      </c>
      <c r="E367" s="50" t="s">
        <v>955</v>
      </c>
      <c r="F367" s="51">
        <v>127.02</v>
      </c>
      <c r="G367" s="45">
        <v>1</v>
      </c>
      <c r="H367" s="50" t="s">
        <v>1126</v>
      </c>
      <c r="I367" s="45">
        <v>1</v>
      </c>
      <c r="J367" s="52">
        <v>0.85</v>
      </c>
    </row>
    <row x14ac:dyDescent="0.25" r="368" customHeight="1" ht="18">
      <c r="A368" s="50" t="s">
        <v>952</v>
      </c>
      <c r="B368" s="50" t="s">
        <v>1122</v>
      </c>
      <c r="C368" s="50" t="s">
        <v>921</v>
      </c>
      <c r="D368" s="50" t="s">
        <v>1127</v>
      </c>
      <c r="E368" s="50" t="s">
        <v>955</v>
      </c>
      <c r="F368" s="51">
        <v>128.0241106719368</v>
      </c>
      <c r="G368" s="45">
        <v>1</v>
      </c>
      <c r="H368" s="50" t="s">
        <v>1128</v>
      </c>
      <c r="I368" s="45">
        <v>1</v>
      </c>
      <c r="J368" s="52">
        <v>0.85</v>
      </c>
    </row>
    <row x14ac:dyDescent="0.25" r="369" customHeight="1" ht="18">
      <c r="A369" s="50" t="s">
        <v>952</v>
      </c>
      <c r="B369" s="50" t="s">
        <v>1122</v>
      </c>
      <c r="C369" s="50" t="s">
        <v>922</v>
      </c>
      <c r="D369" s="50" t="s">
        <v>1127</v>
      </c>
      <c r="E369" s="50" t="s">
        <v>955</v>
      </c>
      <c r="F369" s="51">
        <v>128.0241106719368</v>
      </c>
      <c r="G369" s="45">
        <v>1</v>
      </c>
      <c r="H369" s="50" t="s">
        <v>1128</v>
      </c>
      <c r="I369" s="45">
        <v>1</v>
      </c>
      <c r="J369" s="52">
        <v>0.85</v>
      </c>
    </row>
    <row x14ac:dyDescent="0.25" r="370" customHeight="1" ht="18">
      <c r="A370" s="50" t="s">
        <v>952</v>
      </c>
      <c r="B370" s="50" t="s">
        <v>1122</v>
      </c>
      <c r="C370" s="50" t="s">
        <v>923</v>
      </c>
      <c r="D370" s="50" t="s">
        <v>1127</v>
      </c>
      <c r="E370" s="50" t="s">
        <v>955</v>
      </c>
      <c r="F370" s="51">
        <v>128.0241106719368</v>
      </c>
      <c r="G370" s="45">
        <v>1</v>
      </c>
      <c r="H370" s="50" t="s">
        <v>1128</v>
      </c>
      <c r="I370" s="45">
        <v>1</v>
      </c>
      <c r="J370" s="52">
        <v>0.85</v>
      </c>
    </row>
    <row x14ac:dyDescent="0.25" r="371" customHeight="1" ht="18">
      <c r="A371" s="50" t="s">
        <v>952</v>
      </c>
      <c r="B371" s="50" t="s">
        <v>1122</v>
      </c>
      <c r="C371" s="50" t="s">
        <v>921</v>
      </c>
      <c r="D371" s="50" t="s">
        <v>1129</v>
      </c>
      <c r="E371" s="50" t="s">
        <v>955</v>
      </c>
      <c r="F371" s="51">
        <v>48.59729932483121</v>
      </c>
      <c r="G371" s="45">
        <v>1</v>
      </c>
      <c r="H371" s="50" t="s">
        <v>1130</v>
      </c>
      <c r="I371" s="45">
        <v>1</v>
      </c>
      <c r="J371" s="52">
        <v>0.85</v>
      </c>
    </row>
    <row x14ac:dyDescent="0.25" r="372" customHeight="1" ht="18">
      <c r="A372" s="50" t="s">
        <v>952</v>
      </c>
      <c r="B372" s="50" t="s">
        <v>1122</v>
      </c>
      <c r="C372" s="50" t="s">
        <v>922</v>
      </c>
      <c r="D372" s="50" t="s">
        <v>1129</v>
      </c>
      <c r="E372" s="50" t="s">
        <v>955</v>
      </c>
      <c r="F372" s="51">
        <v>48.59729932483121</v>
      </c>
      <c r="G372" s="45">
        <v>1</v>
      </c>
      <c r="H372" s="50" t="s">
        <v>1130</v>
      </c>
      <c r="I372" s="45">
        <v>1</v>
      </c>
      <c r="J372" s="52">
        <v>0.85</v>
      </c>
    </row>
    <row x14ac:dyDescent="0.25" r="373" customHeight="1" ht="18">
      <c r="A373" s="50" t="s">
        <v>952</v>
      </c>
      <c r="B373" s="50" t="s">
        <v>1122</v>
      </c>
      <c r="C373" s="50" t="s">
        <v>923</v>
      </c>
      <c r="D373" s="50" t="s">
        <v>1129</v>
      </c>
      <c r="E373" s="50" t="s">
        <v>955</v>
      </c>
      <c r="F373" s="51">
        <v>48.59729932483121</v>
      </c>
      <c r="G373" s="45">
        <v>1</v>
      </c>
      <c r="H373" s="50" t="s">
        <v>1130</v>
      </c>
      <c r="I373" s="45">
        <v>1</v>
      </c>
      <c r="J373" s="52">
        <v>0.85</v>
      </c>
    </row>
    <row x14ac:dyDescent="0.25" r="374" customHeight="1" ht="18">
      <c r="A374" s="50" t="s">
        <v>952</v>
      </c>
      <c r="B374" s="50" t="s">
        <v>1122</v>
      </c>
      <c r="C374" s="50" t="s">
        <v>921</v>
      </c>
      <c r="D374" s="50" t="s">
        <v>1131</v>
      </c>
      <c r="E374" s="50" t="s">
        <v>955</v>
      </c>
      <c r="F374" s="51">
        <v>50.808</v>
      </c>
      <c r="G374" s="45">
        <v>1</v>
      </c>
      <c r="H374" s="50" t="s">
        <v>1132</v>
      </c>
      <c r="I374" s="45">
        <v>1</v>
      </c>
      <c r="J374" s="52">
        <v>0.85</v>
      </c>
    </row>
    <row x14ac:dyDescent="0.25" r="375" customHeight="1" ht="18">
      <c r="A375" s="50" t="s">
        <v>952</v>
      </c>
      <c r="B375" s="50" t="s">
        <v>1122</v>
      </c>
      <c r="C375" s="50" t="s">
        <v>922</v>
      </c>
      <c r="D375" s="50" t="s">
        <v>1131</v>
      </c>
      <c r="E375" s="50" t="s">
        <v>955</v>
      </c>
      <c r="F375" s="51">
        <v>50.808</v>
      </c>
      <c r="G375" s="45">
        <v>1</v>
      </c>
      <c r="H375" s="50" t="s">
        <v>1132</v>
      </c>
      <c r="I375" s="45">
        <v>1</v>
      </c>
      <c r="J375" s="52">
        <v>0.85</v>
      </c>
    </row>
    <row x14ac:dyDescent="0.25" r="376" customHeight="1" ht="18">
      <c r="A376" s="50" t="s">
        <v>952</v>
      </c>
      <c r="B376" s="50" t="s">
        <v>1122</v>
      </c>
      <c r="C376" s="50" t="s">
        <v>923</v>
      </c>
      <c r="D376" s="50" t="s">
        <v>1131</v>
      </c>
      <c r="E376" s="50" t="s">
        <v>955</v>
      </c>
      <c r="F376" s="51">
        <v>50.808</v>
      </c>
      <c r="G376" s="45">
        <v>1</v>
      </c>
      <c r="H376" s="50" t="s">
        <v>1132</v>
      </c>
      <c r="I376" s="45">
        <v>1</v>
      </c>
      <c r="J376" s="52">
        <v>0.85</v>
      </c>
    </row>
    <row x14ac:dyDescent="0.25" r="377" customHeight="1" ht="18">
      <c r="A377" s="50" t="s">
        <v>952</v>
      </c>
      <c r="B377" s="50" t="s">
        <v>1122</v>
      </c>
      <c r="C377" s="50" t="s">
        <v>921</v>
      </c>
      <c r="D377" s="50" t="s">
        <v>1133</v>
      </c>
      <c r="E377" s="50" t="s">
        <v>955</v>
      </c>
      <c r="F377" s="51">
        <v>113.3333333333333</v>
      </c>
      <c r="G377" s="45">
        <v>1</v>
      </c>
      <c r="H377" s="50" t="s">
        <v>1134</v>
      </c>
      <c r="I377" s="45">
        <v>1</v>
      </c>
      <c r="J377" s="52">
        <v>0.85</v>
      </c>
    </row>
    <row x14ac:dyDescent="0.25" r="378" customHeight="1" ht="18">
      <c r="A378" s="50" t="s">
        <v>952</v>
      </c>
      <c r="B378" s="50" t="s">
        <v>1122</v>
      </c>
      <c r="C378" s="50" t="s">
        <v>922</v>
      </c>
      <c r="D378" s="50" t="s">
        <v>1133</v>
      </c>
      <c r="E378" s="50" t="s">
        <v>955</v>
      </c>
      <c r="F378" s="51">
        <v>113.3333333333333</v>
      </c>
      <c r="G378" s="45">
        <v>1</v>
      </c>
      <c r="H378" s="50" t="s">
        <v>1134</v>
      </c>
      <c r="I378" s="45">
        <v>1</v>
      </c>
      <c r="J378" s="52">
        <v>0.85</v>
      </c>
    </row>
    <row x14ac:dyDescent="0.25" r="379" customHeight="1" ht="18">
      <c r="A379" s="50" t="s">
        <v>952</v>
      </c>
      <c r="B379" s="50" t="s">
        <v>1122</v>
      </c>
      <c r="C379" s="50" t="s">
        <v>923</v>
      </c>
      <c r="D379" s="50" t="s">
        <v>1133</v>
      </c>
      <c r="E379" s="50" t="s">
        <v>955</v>
      </c>
      <c r="F379" s="51">
        <v>113.3333333333333</v>
      </c>
      <c r="G379" s="45">
        <v>1</v>
      </c>
      <c r="H379" s="50" t="s">
        <v>1134</v>
      </c>
      <c r="I379" s="45">
        <v>1</v>
      </c>
      <c r="J379" s="52">
        <v>0.85</v>
      </c>
    </row>
    <row x14ac:dyDescent="0.25" r="380" customHeight="1" ht="18">
      <c r="A380" s="50" t="s">
        <v>952</v>
      </c>
      <c r="B380" s="50" t="s">
        <v>1122</v>
      </c>
      <c r="C380" s="50" t="s">
        <v>921</v>
      </c>
      <c r="D380" s="50" t="s">
        <v>1135</v>
      </c>
      <c r="E380" s="50" t="s">
        <v>955</v>
      </c>
      <c r="F380" s="51">
        <v>27.00300125052105</v>
      </c>
      <c r="G380" s="45">
        <v>1</v>
      </c>
      <c r="H380" s="50" t="s">
        <v>159</v>
      </c>
      <c r="I380" s="45">
        <v>1</v>
      </c>
      <c r="J380" s="52">
        <v>0.85</v>
      </c>
    </row>
    <row x14ac:dyDescent="0.25" r="381" customHeight="1" ht="18">
      <c r="A381" s="50" t="s">
        <v>952</v>
      </c>
      <c r="B381" s="50" t="s">
        <v>1122</v>
      </c>
      <c r="C381" s="50" t="s">
        <v>921</v>
      </c>
      <c r="D381" s="50" t="s">
        <v>1136</v>
      </c>
      <c r="E381" s="50" t="s">
        <v>955</v>
      </c>
      <c r="F381" s="51">
        <v>44.98625000000001</v>
      </c>
      <c r="G381" s="45">
        <v>1</v>
      </c>
      <c r="H381" s="50" t="s">
        <v>1137</v>
      </c>
      <c r="I381" s="45">
        <v>1</v>
      </c>
      <c r="J381" s="52">
        <v>0.85</v>
      </c>
    </row>
    <row x14ac:dyDescent="0.25" r="382" customHeight="1" ht="18">
      <c r="A382" s="50" t="s">
        <v>952</v>
      </c>
      <c r="B382" s="50" t="s">
        <v>1122</v>
      </c>
      <c r="C382" s="50" t="s">
        <v>922</v>
      </c>
      <c r="D382" s="50" t="s">
        <v>1136</v>
      </c>
      <c r="E382" s="50" t="s">
        <v>955</v>
      </c>
      <c r="F382" s="51">
        <v>44.98625000000001</v>
      </c>
      <c r="G382" s="45">
        <v>1</v>
      </c>
      <c r="H382" s="50" t="s">
        <v>1137</v>
      </c>
      <c r="I382" s="45">
        <v>1</v>
      </c>
      <c r="J382" s="52">
        <v>0.85</v>
      </c>
    </row>
    <row x14ac:dyDescent="0.25" r="383" customHeight="1" ht="18">
      <c r="A383" s="50" t="s">
        <v>952</v>
      </c>
      <c r="B383" s="50" t="s">
        <v>1122</v>
      </c>
      <c r="C383" s="50" t="s">
        <v>923</v>
      </c>
      <c r="D383" s="50" t="s">
        <v>1138</v>
      </c>
      <c r="E383" s="50" t="s">
        <v>955</v>
      </c>
      <c r="F383" s="51">
        <v>181.4571428571429</v>
      </c>
      <c r="G383" s="45">
        <v>1</v>
      </c>
      <c r="H383" s="50" t="s">
        <v>1139</v>
      </c>
      <c r="I383" s="45">
        <v>1</v>
      </c>
      <c r="J383" s="52">
        <v>0.85</v>
      </c>
    </row>
    <row x14ac:dyDescent="0.25" r="384" customHeight="1" ht="18">
      <c r="A384" s="50" t="s">
        <v>952</v>
      </c>
      <c r="B384" s="50" t="s">
        <v>1122</v>
      </c>
      <c r="C384" s="50" t="s">
        <v>923</v>
      </c>
      <c r="D384" s="50" t="s">
        <v>1140</v>
      </c>
      <c r="E384" s="50" t="s">
        <v>955</v>
      </c>
      <c r="F384" s="51">
        <v>152.7834905660377</v>
      </c>
      <c r="G384" s="45">
        <v>1</v>
      </c>
      <c r="H384" s="50" t="s">
        <v>1141</v>
      </c>
      <c r="I384" s="45">
        <v>1</v>
      </c>
      <c r="J384" s="52">
        <v>0.85</v>
      </c>
    </row>
    <row x14ac:dyDescent="0.25" r="385" customHeight="1" ht="18">
      <c r="A385" s="50" t="s">
        <v>952</v>
      </c>
      <c r="B385" s="50" t="s">
        <v>1122</v>
      </c>
      <c r="C385" s="50" t="s">
        <v>923</v>
      </c>
      <c r="D385" s="50" t="s">
        <v>1142</v>
      </c>
      <c r="E385" s="50" t="s">
        <v>955</v>
      </c>
      <c r="F385" s="51">
        <v>244.4535849056604</v>
      </c>
      <c r="G385" s="45">
        <v>1</v>
      </c>
      <c r="H385" s="50" t="s">
        <v>1143</v>
      </c>
      <c r="I385" s="45">
        <v>1</v>
      </c>
      <c r="J385" s="52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2"/>
  <sheetViews>
    <sheetView workbookViewId="0"/>
  </sheetViews>
  <sheetFormatPr defaultRowHeight="15" x14ac:dyDescent="0.25"/>
  <cols>
    <col min="1" max="1" style="5" width="25.005" customWidth="1" bestFit="1"/>
    <col min="2" max="2" style="7" width="10.43357142857143" customWidth="1" bestFit="1"/>
    <col min="3" max="3" style="7" width="10.43357142857143" customWidth="1" bestFit="1"/>
    <col min="4" max="4" style="38" width="10.43357142857143" customWidth="1" bestFit="1"/>
    <col min="5" max="5" style="38" width="10.43357142857143" customWidth="1" bestFit="1"/>
    <col min="6" max="6" style="38" width="10.43357142857143" customWidth="1" bestFit="1"/>
    <col min="7" max="7" style="38" width="10.43357142857143" customWidth="1" bestFit="1"/>
    <col min="8" max="8" style="38" width="10.43357142857143" customWidth="1" bestFit="1"/>
    <col min="9" max="9" style="38" width="10.43357142857143" customWidth="1" bestFit="1"/>
    <col min="10" max="10" style="38" width="10.862142857142858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</cols>
  <sheetData>
    <row x14ac:dyDescent="0.25" r="1" customHeight="1" ht="18">
      <c r="A1" s="22" t="s">
        <v>898</v>
      </c>
      <c r="B1" s="23" t="s">
        <v>899</v>
      </c>
      <c r="C1" s="24">
        <v>2024</v>
      </c>
      <c r="D1" s="24">
        <v>2025</v>
      </c>
      <c r="E1" s="24">
        <v>2026</v>
      </c>
      <c r="F1" s="24">
        <v>2027</v>
      </c>
      <c r="G1" s="24">
        <v>2028</v>
      </c>
      <c r="H1" s="24">
        <v>2029</v>
      </c>
      <c r="I1" s="24">
        <v>2030</v>
      </c>
      <c r="J1" s="24">
        <v>2031</v>
      </c>
      <c r="K1" s="24">
        <v>2032</v>
      </c>
      <c r="L1" s="24">
        <v>2033</v>
      </c>
      <c r="M1" s="24">
        <v>2034</v>
      </c>
    </row>
    <row x14ac:dyDescent="0.25" r="2" customHeight="1" ht="17.1">
      <c r="A2" s="25" t="s">
        <v>900</v>
      </c>
      <c r="B2" s="26">
        <v>240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</row>
    <row x14ac:dyDescent="0.25" r="3" customHeight="1" ht="18">
      <c r="A3" s="25" t="s">
        <v>901</v>
      </c>
      <c r="B3" s="26">
        <v>240</v>
      </c>
      <c r="C3" s="27">
        <v>38859</v>
      </c>
      <c r="D3" s="28">
        <v>39785</v>
      </c>
      <c r="E3" s="28">
        <v>25020</v>
      </c>
      <c r="F3" s="27">
        <v>50580</v>
      </c>
      <c r="G3" s="27">
        <v>51500</v>
      </c>
      <c r="H3" s="27">
        <v>50047</v>
      </c>
      <c r="I3" s="27">
        <v>47748</v>
      </c>
      <c r="J3" s="27">
        <v>37021</v>
      </c>
      <c r="K3" s="27">
        <v>31364</v>
      </c>
      <c r="L3" s="27">
        <v>0</v>
      </c>
      <c r="M3" s="27">
        <v>0</v>
      </c>
    </row>
    <row x14ac:dyDescent="0.25" r="4" customHeight="1" ht="18">
      <c r="A4" s="25" t="s">
        <v>902</v>
      </c>
      <c r="B4" s="26">
        <v>240</v>
      </c>
      <c r="C4" s="27">
        <v>3400</v>
      </c>
      <c r="D4" s="28">
        <v>8112</v>
      </c>
      <c r="E4" s="28">
        <v>4248</v>
      </c>
      <c r="F4" s="27">
        <v>9989</v>
      </c>
      <c r="G4" s="27">
        <v>9989</v>
      </c>
      <c r="H4" s="27">
        <v>9989</v>
      </c>
      <c r="I4" s="27">
        <v>9989</v>
      </c>
      <c r="J4" s="27">
        <v>9989</v>
      </c>
      <c r="K4" s="27">
        <v>9989</v>
      </c>
      <c r="L4" s="27">
        <v>0</v>
      </c>
      <c r="M4" s="27">
        <v>0</v>
      </c>
    </row>
    <row x14ac:dyDescent="0.25" r="5" customHeight="1" ht="18">
      <c r="A5" s="25" t="s">
        <v>903</v>
      </c>
      <c r="B5" s="26">
        <v>240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x14ac:dyDescent="0.25" r="6" customHeight="1" ht="18">
      <c r="A6" s="25" t="s">
        <v>904</v>
      </c>
      <c r="B6" s="26">
        <v>240</v>
      </c>
      <c r="C6" s="27">
        <v>47199</v>
      </c>
      <c r="D6" s="28">
        <v>64397</v>
      </c>
      <c r="E6" s="28">
        <v>35244</v>
      </c>
      <c r="F6" s="27">
        <v>72989</v>
      </c>
      <c r="G6" s="27">
        <v>76011</v>
      </c>
      <c r="H6" s="27">
        <v>77700</v>
      </c>
      <c r="I6" s="27">
        <v>77133</v>
      </c>
      <c r="J6" s="27">
        <v>81265</v>
      </c>
      <c r="K6" s="27">
        <v>84855</v>
      </c>
      <c r="L6" s="27">
        <v>22252</v>
      </c>
      <c r="M6" s="27">
        <v>25800</v>
      </c>
    </row>
    <row x14ac:dyDescent="0.25" r="7" customHeight="1" ht="18">
      <c r="A7" s="25" t="s">
        <v>905</v>
      </c>
      <c r="B7" s="26">
        <v>240</v>
      </c>
      <c r="C7" s="27">
        <v>2307</v>
      </c>
      <c r="D7" s="28">
        <v>3254</v>
      </c>
      <c r="E7" s="28">
        <v>696</v>
      </c>
      <c r="F7" s="27">
        <v>1400</v>
      </c>
      <c r="G7" s="27">
        <v>1500</v>
      </c>
      <c r="H7" s="27">
        <v>1600</v>
      </c>
      <c r="I7" s="27">
        <v>1700</v>
      </c>
      <c r="J7" s="27">
        <v>1760</v>
      </c>
      <c r="K7" s="27">
        <v>1840</v>
      </c>
      <c r="L7" s="27">
        <v>0</v>
      </c>
      <c r="M7" s="27">
        <v>0</v>
      </c>
    </row>
    <row x14ac:dyDescent="0.25" r="8" customHeight="1" ht="18">
      <c r="A8" s="25" t="s">
        <v>906</v>
      </c>
      <c r="B8" s="26">
        <v>240</v>
      </c>
      <c r="C8" s="29">
        <v>0</v>
      </c>
      <c r="D8" s="28">
        <v>357</v>
      </c>
      <c r="E8" s="28">
        <v>246</v>
      </c>
      <c r="F8" s="29">
        <v>500</v>
      </c>
      <c r="G8" s="29">
        <v>100</v>
      </c>
      <c r="H8" s="29">
        <v>100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</row>
    <row x14ac:dyDescent="0.25" r="9" customHeight="1" ht="18">
      <c r="A9" s="25" t="s">
        <v>907</v>
      </c>
      <c r="B9" s="26">
        <v>240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x14ac:dyDescent="0.25" r="10" customHeight="1" ht="18">
      <c r="A10" s="25" t="s">
        <v>908</v>
      </c>
      <c r="B10" s="26">
        <v>240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x14ac:dyDescent="0.25" r="11" customHeight="1" ht="18">
      <c r="A11" s="25" t="s">
        <v>909</v>
      </c>
      <c r="B11" s="26">
        <v>240</v>
      </c>
      <c r="C11" s="4">
        <v>91765</v>
      </c>
      <c r="D11" s="4">
        <v>115905</v>
      </c>
      <c r="E11" s="4">
        <v>65454</v>
      </c>
      <c r="F11" s="4">
        <v>135458</v>
      </c>
      <c r="G11" s="4">
        <v>139100</v>
      </c>
      <c r="H11" s="4">
        <v>139436</v>
      </c>
      <c r="I11" s="4">
        <v>136570</v>
      </c>
      <c r="J11" s="4">
        <v>130035</v>
      </c>
      <c r="K11" s="4">
        <v>128048</v>
      </c>
      <c r="L11" s="4">
        <v>22252</v>
      </c>
      <c r="M11" s="4">
        <v>25800</v>
      </c>
    </row>
    <row x14ac:dyDescent="0.25" r="12" customHeight="1" ht="18">
      <c r="A12" s="25" t="s">
        <v>910</v>
      </c>
      <c r="B12" s="26">
        <v>240</v>
      </c>
      <c r="C12" s="30">
        <v>328749</v>
      </c>
      <c r="D12" s="28">
        <v>242907</v>
      </c>
      <c r="E12" s="28">
        <v>14514</v>
      </c>
      <c r="F12" s="30">
        <v>170525</v>
      </c>
      <c r="G12" s="30">
        <v>124840</v>
      </c>
      <c r="H12" s="30">
        <v>123889</v>
      </c>
      <c r="I12" s="30">
        <v>10000</v>
      </c>
      <c r="J12" s="30">
        <v>0</v>
      </c>
      <c r="K12" s="30">
        <v>0</v>
      </c>
      <c r="L12" s="30">
        <v>0</v>
      </c>
      <c r="M12" s="30">
        <v>0</v>
      </c>
    </row>
    <row x14ac:dyDescent="0.25" r="13" customHeight="1" ht="18">
      <c r="A13" s="25" t="s">
        <v>911</v>
      </c>
      <c r="B13" s="26">
        <v>240</v>
      </c>
      <c r="C13" s="31">
        <v>0</v>
      </c>
      <c r="D13" s="28">
        <v>234232</v>
      </c>
      <c r="E13" s="28">
        <v>38795</v>
      </c>
      <c r="F13" s="31">
        <v>154562</v>
      </c>
      <c r="G13" s="31">
        <v>145974</v>
      </c>
      <c r="H13" s="31">
        <v>143113</v>
      </c>
      <c r="I13" s="31">
        <v>151699</v>
      </c>
      <c r="J13" s="31">
        <v>152709</v>
      </c>
      <c r="K13" s="31">
        <v>152709</v>
      </c>
      <c r="L13" s="31">
        <v>152709</v>
      </c>
      <c r="M13" s="31">
        <v>0</v>
      </c>
    </row>
    <row x14ac:dyDescent="0.25" r="14" customHeight="1" ht="18">
      <c r="A14" s="25" t="s">
        <v>912</v>
      </c>
      <c r="B14" s="26">
        <v>240</v>
      </c>
      <c r="C14" s="31">
        <v>167873</v>
      </c>
      <c r="D14" s="28">
        <v>289489</v>
      </c>
      <c r="E14" s="28">
        <v>61880</v>
      </c>
      <c r="F14" s="31">
        <v>200002</v>
      </c>
      <c r="G14" s="31">
        <v>179849</v>
      </c>
      <c r="H14" s="31">
        <v>166425</v>
      </c>
      <c r="I14" s="31">
        <v>166425</v>
      </c>
      <c r="J14" s="31">
        <v>166425</v>
      </c>
      <c r="K14" s="31">
        <v>166425</v>
      </c>
      <c r="L14" s="31">
        <v>166425</v>
      </c>
      <c r="M14" s="31">
        <v>0</v>
      </c>
    </row>
    <row x14ac:dyDescent="0.25" r="15" customHeight="1" ht="18">
      <c r="A15" s="25" t="s">
        <v>913</v>
      </c>
      <c r="B15" s="26">
        <v>240</v>
      </c>
      <c r="C15" s="31">
        <v>0</v>
      </c>
      <c r="D15" s="28">
        <v>20000</v>
      </c>
      <c r="E15" s="28">
        <v>26460</v>
      </c>
      <c r="F15" s="31">
        <v>99026</v>
      </c>
      <c r="G15" s="31">
        <v>98026</v>
      </c>
      <c r="H15" s="31">
        <v>98026</v>
      </c>
      <c r="I15" s="31">
        <v>97026</v>
      </c>
      <c r="J15" s="31">
        <v>129282</v>
      </c>
      <c r="K15" s="31">
        <v>129282</v>
      </c>
      <c r="L15" s="31">
        <v>129282</v>
      </c>
      <c r="M15" s="31">
        <v>0</v>
      </c>
    </row>
    <row x14ac:dyDescent="0.25" r="16" customHeight="1" ht="18">
      <c r="A16" s="25" t="s">
        <v>914</v>
      </c>
      <c r="B16" s="26">
        <v>240</v>
      </c>
      <c r="C16" s="31">
        <v>0</v>
      </c>
      <c r="D16" s="28">
        <v>998</v>
      </c>
      <c r="E16" s="28">
        <v>558</v>
      </c>
      <c r="F16" s="31">
        <v>3540</v>
      </c>
      <c r="G16" s="31">
        <v>4421</v>
      </c>
      <c r="H16" s="31">
        <v>4740</v>
      </c>
      <c r="I16" s="31">
        <v>1335</v>
      </c>
      <c r="J16" s="31">
        <v>832</v>
      </c>
      <c r="K16" s="31">
        <v>0</v>
      </c>
      <c r="L16" s="31">
        <v>0</v>
      </c>
      <c r="M16" s="31">
        <v>0</v>
      </c>
    </row>
    <row x14ac:dyDescent="0.25" r="17" customHeight="1" ht="18">
      <c r="A17" s="25" t="s">
        <v>915</v>
      </c>
      <c r="B17" s="26">
        <v>240</v>
      </c>
      <c r="C17" s="31">
        <v>167873</v>
      </c>
      <c r="D17" s="31">
        <v>347362</v>
      </c>
      <c r="E17" s="31">
        <v>127693</v>
      </c>
      <c r="F17" s="31">
        <v>457130</v>
      </c>
      <c r="G17" s="31">
        <v>428270</v>
      </c>
      <c r="H17" s="31">
        <v>412304</v>
      </c>
      <c r="I17" s="31">
        <v>416485</v>
      </c>
      <c r="J17" s="31">
        <v>449248</v>
      </c>
      <c r="K17" s="31">
        <v>448416</v>
      </c>
      <c r="L17" s="31">
        <v>448416</v>
      </c>
      <c r="M17" s="31">
        <v>0</v>
      </c>
    </row>
    <row x14ac:dyDescent="0.25" r="18" customHeight="1" ht="18">
      <c r="A18" s="25" t="s">
        <v>916</v>
      </c>
      <c r="B18" s="26">
        <v>240</v>
      </c>
      <c r="C18" s="32">
        <v>32597</v>
      </c>
      <c r="D18" s="28">
        <v>12566</v>
      </c>
      <c r="E18" s="28">
        <v>0</v>
      </c>
      <c r="F18" s="32">
        <v>13301</v>
      </c>
      <c r="G18" s="32">
        <v>13301</v>
      </c>
      <c r="H18" s="32">
        <v>13301</v>
      </c>
      <c r="I18" s="32">
        <v>14736</v>
      </c>
      <c r="J18" s="32">
        <v>0</v>
      </c>
      <c r="K18" s="32">
        <v>0</v>
      </c>
      <c r="L18" s="32">
        <v>0</v>
      </c>
      <c r="M18" s="32">
        <v>0</v>
      </c>
    </row>
    <row x14ac:dyDescent="0.25" r="19" customHeight="1" ht="18">
      <c r="A19" s="25" t="s">
        <v>917</v>
      </c>
      <c r="B19" s="26">
        <v>240</v>
      </c>
      <c r="C19" s="32">
        <v>300894</v>
      </c>
      <c r="D19" s="28">
        <v>249959</v>
      </c>
      <c r="E19" s="28">
        <v>68103</v>
      </c>
      <c r="F19" s="32">
        <v>247000</v>
      </c>
      <c r="G19" s="32">
        <v>256500</v>
      </c>
      <c r="H19" s="32">
        <v>266000</v>
      </c>
      <c r="I19" s="32">
        <v>280249</v>
      </c>
      <c r="J19" s="32">
        <v>0</v>
      </c>
      <c r="K19" s="32">
        <v>0</v>
      </c>
      <c r="L19" s="32">
        <v>0</v>
      </c>
      <c r="M19" s="32">
        <v>0</v>
      </c>
    </row>
    <row x14ac:dyDescent="0.25" r="20" customHeight="1" ht="18">
      <c r="A20" s="25" t="s">
        <v>918</v>
      </c>
      <c r="B20" s="26">
        <v>240</v>
      </c>
      <c r="C20" s="32">
        <v>333491</v>
      </c>
      <c r="D20" s="32">
        <v>262525</v>
      </c>
      <c r="E20" s="32">
        <v>68103</v>
      </c>
      <c r="F20" s="32">
        <v>260301</v>
      </c>
      <c r="G20" s="32">
        <v>269801</v>
      </c>
      <c r="H20" s="32">
        <v>279301</v>
      </c>
      <c r="I20" s="32">
        <v>294985</v>
      </c>
      <c r="J20" s="32">
        <v>0</v>
      </c>
      <c r="K20" s="32">
        <v>0</v>
      </c>
      <c r="L20" s="32">
        <v>0</v>
      </c>
      <c r="M20" s="32">
        <v>0</v>
      </c>
    </row>
    <row x14ac:dyDescent="0.25" r="21" customHeight="1" ht="18">
      <c r="A21" s="25" t="s">
        <v>919</v>
      </c>
      <c r="B21" s="26">
        <v>240</v>
      </c>
      <c r="C21" s="30">
        <v>606373</v>
      </c>
      <c r="D21" s="28">
        <v>862740</v>
      </c>
      <c r="E21" s="28">
        <v>157589</v>
      </c>
      <c r="F21" s="30">
        <v>438666</v>
      </c>
      <c r="G21" s="30">
        <v>443377</v>
      </c>
      <c r="H21" s="30">
        <v>429734</v>
      </c>
      <c r="I21" s="30">
        <v>361489</v>
      </c>
      <c r="J21" s="30">
        <v>323998</v>
      </c>
      <c r="K21" s="30">
        <v>348178</v>
      </c>
      <c r="L21" s="30">
        <v>347660</v>
      </c>
      <c r="M21" s="30">
        <v>276034</v>
      </c>
    </row>
    <row x14ac:dyDescent="0.25" r="22" customHeight="1" ht="18">
      <c r="A22" s="25" t="s">
        <v>920</v>
      </c>
      <c r="B22" s="26">
        <v>240</v>
      </c>
      <c r="C22" s="30">
        <v>606373</v>
      </c>
      <c r="D22" s="28">
        <v>360670</v>
      </c>
      <c r="E22" s="28">
        <v>71900</v>
      </c>
      <c r="F22" s="30">
        <v>338969</v>
      </c>
      <c r="G22" s="30">
        <v>279761</v>
      </c>
      <c r="H22" s="30">
        <v>243576</v>
      </c>
      <c r="I22" s="30">
        <v>300945</v>
      </c>
      <c r="J22" s="30">
        <v>235577</v>
      </c>
      <c r="K22" s="30">
        <v>233173</v>
      </c>
      <c r="L22" s="30">
        <v>224300</v>
      </c>
      <c r="M22" s="30">
        <v>116830</v>
      </c>
    </row>
    <row x14ac:dyDescent="0.25" r="23" customHeight="1" ht="18">
      <c r="A23" s="25" t="s">
        <v>921</v>
      </c>
      <c r="B23" s="26">
        <v>240</v>
      </c>
      <c r="C23" s="4">
        <v>53561</v>
      </c>
      <c r="D23" s="28">
        <v>34410</v>
      </c>
      <c r="E23" s="28">
        <v>6559</v>
      </c>
      <c r="F23" s="4">
        <v>164525</v>
      </c>
      <c r="G23" s="4">
        <v>167438</v>
      </c>
      <c r="H23" s="4">
        <v>178742</v>
      </c>
      <c r="I23" s="4">
        <v>217433</v>
      </c>
      <c r="J23" s="4">
        <v>290000</v>
      </c>
      <c r="K23" s="4">
        <v>380000</v>
      </c>
      <c r="L23" s="4">
        <v>540000</v>
      </c>
      <c r="M23" s="4">
        <v>400000</v>
      </c>
    </row>
    <row x14ac:dyDescent="0.25" r="24" customHeight="1" ht="18">
      <c r="A24" s="25" t="s">
        <v>922</v>
      </c>
      <c r="B24" s="26">
        <v>240</v>
      </c>
      <c r="C24" s="4">
        <v>0</v>
      </c>
      <c r="D24" s="4">
        <v>0</v>
      </c>
      <c r="E24" s="4">
        <v>0</v>
      </c>
      <c r="F24" s="4">
        <v>2544</v>
      </c>
      <c r="G24" s="4">
        <v>13798</v>
      </c>
      <c r="H24" s="4">
        <v>33244</v>
      </c>
      <c r="I24" s="4">
        <v>16760</v>
      </c>
      <c r="J24" s="4">
        <v>26600</v>
      </c>
      <c r="K24" s="4">
        <v>32400</v>
      </c>
      <c r="L24" s="4">
        <v>54000</v>
      </c>
      <c r="M24" s="4">
        <v>43000</v>
      </c>
    </row>
    <row x14ac:dyDescent="0.25" r="25" customHeight="1" ht="18">
      <c r="A25" s="25" t="s">
        <v>923</v>
      </c>
      <c r="B25" s="26">
        <v>240</v>
      </c>
      <c r="C25" s="33">
        <v>0</v>
      </c>
      <c r="D25" s="33">
        <v>0</v>
      </c>
      <c r="E25" s="33">
        <v>0</v>
      </c>
      <c r="F25" s="33">
        <v>30000</v>
      </c>
      <c r="G25" s="33">
        <v>30000</v>
      </c>
      <c r="H25" s="33">
        <v>30000</v>
      </c>
      <c r="I25" s="33">
        <v>12396</v>
      </c>
      <c r="J25" s="33">
        <v>25000</v>
      </c>
      <c r="K25" s="33">
        <v>40000</v>
      </c>
      <c r="L25" s="33">
        <v>68000</v>
      </c>
      <c r="M25" s="33">
        <v>50000</v>
      </c>
    </row>
    <row x14ac:dyDescent="0.25" r="26" customHeight="1" ht="18">
      <c r="A26" s="85" t="s">
        <v>924</v>
      </c>
      <c r="B26" s="26">
        <v>240</v>
      </c>
      <c r="C26" s="4">
        <v>0</v>
      </c>
      <c r="D26" s="4">
        <v>0</v>
      </c>
      <c r="E26" s="4">
        <v>0</v>
      </c>
      <c r="F26" s="4">
        <v>5120</v>
      </c>
      <c r="G26" s="4">
        <v>4868</v>
      </c>
      <c r="H26" s="4">
        <v>4628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x14ac:dyDescent="0.25" r="27" customHeight="1" ht="18">
      <c r="A27" s="85" t="s">
        <v>925</v>
      </c>
      <c r="B27" s="26">
        <v>240</v>
      </c>
      <c r="C27" s="4">
        <v>0</v>
      </c>
      <c r="D27" s="4">
        <v>0</v>
      </c>
      <c r="E27" s="4">
        <v>0</v>
      </c>
      <c r="F27" s="4">
        <v>100522</v>
      </c>
      <c r="G27" s="4">
        <v>95000</v>
      </c>
      <c r="H27" s="4">
        <v>95000</v>
      </c>
      <c r="I27" s="4">
        <v>95000</v>
      </c>
      <c r="J27" s="4">
        <v>95000</v>
      </c>
      <c r="K27" s="4">
        <v>71250</v>
      </c>
      <c r="L27" s="4">
        <v>0</v>
      </c>
      <c r="M27" s="4">
        <v>0</v>
      </c>
    </row>
    <row x14ac:dyDescent="0.25" r="28" customHeight="1" ht="18">
      <c r="A28" s="85" t="s">
        <v>926</v>
      </c>
      <c r="B28" s="26">
        <v>240</v>
      </c>
      <c r="C28" s="4">
        <v>0</v>
      </c>
      <c r="D28" s="4">
        <v>0</v>
      </c>
      <c r="E28" s="4">
        <v>0</v>
      </c>
      <c r="F28" s="4">
        <v>15012</v>
      </c>
      <c r="G28" s="4">
        <v>15000</v>
      </c>
      <c r="H28" s="4">
        <v>15000</v>
      </c>
      <c r="I28" s="4">
        <v>15000</v>
      </c>
      <c r="J28" s="4">
        <v>15000</v>
      </c>
      <c r="K28" s="4">
        <v>11256</v>
      </c>
      <c r="L28" s="4">
        <v>0</v>
      </c>
      <c r="M28" s="4">
        <v>0</v>
      </c>
    </row>
    <row x14ac:dyDescent="0.25" r="29" customHeight="1" ht="18">
      <c r="A29" s="85" t="s">
        <v>927</v>
      </c>
      <c r="B29" s="26">
        <v>240</v>
      </c>
      <c r="C29" s="4">
        <v>0</v>
      </c>
      <c r="D29" s="4">
        <v>0</v>
      </c>
      <c r="E29" s="4">
        <v>0</v>
      </c>
      <c r="F29" s="4">
        <v>3348</v>
      </c>
      <c r="G29" s="4">
        <v>3348</v>
      </c>
      <c r="H29" s="4">
        <v>3348</v>
      </c>
      <c r="I29" s="4">
        <v>3348</v>
      </c>
      <c r="J29" s="4">
        <v>3098</v>
      </c>
      <c r="K29" s="4">
        <v>2598</v>
      </c>
      <c r="L29" s="4">
        <v>2598</v>
      </c>
      <c r="M29" s="4">
        <v>1798</v>
      </c>
    </row>
    <row x14ac:dyDescent="0.25" r="30" customHeight="1" ht="18">
      <c r="A30" s="85" t="s">
        <v>928</v>
      </c>
      <c r="B30" s="26">
        <v>240</v>
      </c>
      <c r="C30" s="4">
        <v>0</v>
      </c>
      <c r="D30" s="4">
        <v>0</v>
      </c>
      <c r="E30" s="4">
        <v>0</v>
      </c>
      <c r="F30" s="4">
        <v>58752</v>
      </c>
      <c r="G30" s="4">
        <v>58752</v>
      </c>
      <c r="H30" s="4">
        <v>29376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x14ac:dyDescent="0.25" r="31" customHeight="1" ht="18">
      <c r="A31" s="85" t="s">
        <v>929</v>
      </c>
      <c r="B31" s="26">
        <v>240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x14ac:dyDescent="0.25" r="32" customHeight="1" ht="18">
      <c r="A32" s="85" t="s">
        <v>930</v>
      </c>
      <c r="B32" s="26">
        <v>240</v>
      </c>
      <c r="C32" s="4">
        <v>0</v>
      </c>
      <c r="D32" s="4">
        <v>0</v>
      </c>
      <c r="E32" s="4">
        <v>0</v>
      </c>
      <c r="F32" s="4">
        <v>350</v>
      </c>
      <c r="G32" s="4">
        <v>350</v>
      </c>
      <c r="H32" s="4">
        <v>350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x14ac:dyDescent="0.25" r="33" customHeight="1" ht="18">
      <c r="A33" s="85" t="s">
        <v>931</v>
      </c>
      <c r="B33" s="26">
        <v>240</v>
      </c>
      <c r="C33" s="4">
        <v>0</v>
      </c>
      <c r="D33" s="4">
        <v>0</v>
      </c>
      <c r="E33" s="4">
        <v>0</v>
      </c>
      <c r="F33" s="4">
        <v>350</v>
      </c>
      <c r="G33" s="4">
        <v>350</v>
      </c>
      <c r="H33" s="4">
        <v>350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x14ac:dyDescent="0.25" r="34" customHeight="1" ht="18">
      <c r="A34" s="85" t="s">
        <v>932</v>
      </c>
      <c r="B34" s="26">
        <v>240</v>
      </c>
      <c r="C34" s="4">
        <v>0</v>
      </c>
      <c r="D34" s="4">
        <v>0</v>
      </c>
      <c r="E34" s="4">
        <v>0</v>
      </c>
      <c r="F34" s="4">
        <v>400</v>
      </c>
      <c r="G34" s="4">
        <v>400</v>
      </c>
      <c r="H34" s="4">
        <v>400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x14ac:dyDescent="0.25" r="35" customHeight="1" ht="18">
      <c r="A35" s="85" t="s">
        <v>933</v>
      </c>
      <c r="B35" s="26">
        <v>240</v>
      </c>
      <c r="C35" s="4">
        <v>0</v>
      </c>
      <c r="D35" s="4">
        <v>0</v>
      </c>
      <c r="E35" s="4">
        <v>0</v>
      </c>
      <c r="F35" s="4">
        <v>450</v>
      </c>
      <c r="G35" s="4">
        <v>250</v>
      </c>
      <c r="H35" s="4">
        <v>250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x14ac:dyDescent="0.25" r="36" customHeight="1" ht="18">
      <c r="A36" s="85" t="s">
        <v>934</v>
      </c>
      <c r="B36" s="26">
        <v>240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x14ac:dyDescent="0.25" r="37" customHeight="1" ht="18">
      <c r="A37" s="85" t="s">
        <v>935</v>
      </c>
      <c r="B37" s="26">
        <v>240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x14ac:dyDescent="0.25" r="38" customHeight="1" ht="18">
      <c r="A38" s="85" t="s">
        <v>936</v>
      </c>
      <c r="B38" s="26">
        <v>240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65155</v>
      </c>
      <c r="I38" s="4">
        <v>92847</v>
      </c>
      <c r="J38" s="4">
        <v>99790</v>
      </c>
      <c r="K38" s="4">
        <v>153477</v>
      </c>
      <c r="L38" s="4">
        <v>165821</v>
      </c>
      <c r="M38" s="4">
        <v>181271</v>
      </c>
    </row>
    <row x14ac:dyDescent="0.25" r="39" customHeight="1" ht="18">
      <c r="A39" s="85" t="s">
        <v>937</v>
      </c>
      <c r="B39" s="26">
        <v>240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5000</v>
      </c>
      <c r="K39" s="4">
        <v>20000</v>
      </c>
      <c r="L39" s="4">
        <v>40000</v>
      </c>
      <c r="M39" s="4">
        <v>75000</v>
      </c>
    </row>
    <row x14ac:dyDescent="0.25" r="40" customHeight="1" ht="18">
      <c r="A40" s="85" t="s">
        <v>938</v>
      </c>
      <c r="B40" s="26">
        <v>240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</row>
    <row x14ac:dyDescent="0.25" r="41" customHeight="1" ht="18">
      <c r="A41" s="85" t="s">
        <v>939</v>
      </c>
      <c r="B41" s="26">
        <v>240</v>
      </c>
      <c r="C41" s="4">
        <v>0</v>
      </c>
      <c r="D41" s="4">
        <v>0</v>
      </c>
      <c r="E41" s="4">
        <v>0</v>
      </c>
      <c r="F41" s="4">
        <v>940</v>
      </c>
      <c r="G41" s="4">
        <v>940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x14ac:dyDescent="0.25" r="42" customHeight="1" ht="18">
      <c r="A42" s="85" t="s">
        <v>940</v>
      </c>
      <c r="B42" s="26">
        <v>240</v>
      </c>
      <c r="C42" s="4">
        <v>0</v>
      </c>
      <c r="D42" s="4">
        <v>0</v>
      </c>
      <c r="E42" s="4">
        <v>0</v>
      </c>
      <c r="F42" s="4">
        <v>0</v>
      </c>
      <c r="G42" s="4">
        <v>77837</v>
      </c>
      <c r="H42" s="4">
        <v>155673</v>
      </c>
      <c r="I42" s="4">
        <v>155673</v>
      </c>
      <c r="J42" s="4">
        <v>155673</v>
      </c>
      <c r="K42" s="4">
        <v>155673</v>
      </c>
      <c r="L42" s="4">
        <v>155673</v>
      </c>
      <c r="M42" s="4">
        <v>155673</v>
      </c>
    </row>
    <row x14ac:dyDescent="0.25" r="43" customHeight="1" ht="18">
      <c r="A43" s="85" t="s">
        <v>941</v>
      </c>
      <c r="B43" s="26">
        <v>240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45535</v>
      </c>
      <c r="I43" s="4">
        <v>120447</v>
      </c>
      <c r="J43" s="4">
        <v>139609</v>
      </c>
      <c r="K43" s="4">
        <v>142606</v>
      </c>
      <c r="L43" s="4">
        <v>153759</v>
      </c>
      <c r="M43" s="4">
        <v>119511</v>
      </c>
    </row>
    <row x14ac:dyDescent="0.25" r="44" customHeight="1" ht="18">
      <c r="A44" s="85" t="s">
        <v>942</v>
      </c>
      <c r="B44" s="26">
        <v>240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13790</v>
      </c>
      <c r="I44" s="4">
        <v>34431</v>
      </c>
      <c r="J44" s="4">
        <v>34431</v>
      </c>
      <c r="K44" s="4">
        <v>34431</v>
      </c>
      <c r="L44" s="4">
        <v>34431</v>
      </c>
      <c r="M44" s="4">
        <v>34431</v>
      </c>
    </row>
    <row x14ac:dyDescent="0.25" r="45" customHeight="1" ht="18">
      <c r="A45" s="85" t="s">
        <v>941</v>
      </c>
      <c r="B45" s="26">
        <v>240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45535</v>
      </c>
      <c r="I45" s="4">
        <v>120447</v>
      </c>
      <c r="J45" s="4">
        <v>139609</v>
      </c>
      <c r="K45" s="4">
        <v>142606</v>
      </c>
      <c r="L45" s="4">
        <v>153759</v>
      </c>
      <c r="M45" s="4">
        <v>119511</v>
      </c>
    </row>
    <row x14ac:dyDescent="0.25" r="46" customHeight="1" ht="18">
      <c r="A46" s="85" t="s">
        <v>1032</v>
      </c>
      <c r="B46" s="26">
        <v>240</v>
      </c>
      <c r="C46" s="4">
        <v>0</v>
      </c>
      <c r="D46" s="4">
        <v>0</v>
      </c>
      <c r="E46" s="4">
        <v>0</v>
      </c>
      <c r="F46" s="4">
        <v>0</v>
      </c>
      <c r="G46" s="4">
        <v>43904</v>
      </c>
      <c r="H46" s="4">
        <v>43904</v>
      </c>
      <c r="I46" s="4">
        <v>95334</v>
      </c>
      <c r="J46" s="4">
        <v>95334</v>
      </c>
      <c r="K46" s="4">
        <v>95334</v>
      </c>
      <c r="L46" s="4">
        <v>95334</v>
      </c>
      <c r="M46" s="4">
        <v>95334</v>
      </c>
    </row>
    <row x14ac:dyDescent="0.25" r="47" customHeight="1" ht="18">
      <c r="A47" s="85" t="s">
        <v>1033</v>
      </c>
      <c r="B47" s="26">
        <v>240</v>
      </c>
      <c r="C47" s="4">
        <v>0</v>
      </c>
      <c r="D47" s="4">
        <v>0</v>
      </c>
      <c r="E47" s="4">
        <v>0</v>
      </c>
      <c r="F47" s="4">
        <v>0</v>
      </c>
      <c r="G47" s="4">
        <v>24696</v>
      </c>
      <c r="H47" s="4">
        <v>24696</v>
      </c>
      <c r="I47" s="4">
        <v>53626</v>
      </c>
      <c r="J47" s="4">
        <v>53626</v>
      </c>
      <c r="K47" s="4">
        <v>53626</v>
      </c>
      <c r="L47" s="4">
        <v>53626</v>
      </c>
      <c r="M47" s="4">
        <v>53626</v>
      </c>
    </row>
    <row x14ac:dyDescent="0.25" r="48" customHeight="1" ht="18">
      <c r="A48" s="1"/>
      <c r="B48" s="3"/>
      <c r="C48" s="3"/>
      <c r="D48" s="35"/>
      <c r="E48" s="35"/>
      <c r="F48" s="35"/>
      <c r="G48" s="35"/>
      <c r="H48" s="35"/>
      <c r="I48" s="35"/>
      <c r="J48" s="35"/>
      <c r="K48" s="3"/>
      <c r="L48" s="3"/>
      <c r="M48" s="3"/>
    </row>
    <row x14ac:dyDescent="0.25" r="49" customHeight="1" ht="18">
      <c r="A49" s="1"/>
      <c r="B49" s="3"/>
      <c r="C49" s="3"/>
      <c r="D49" s="35"/>
      <c r="E49" s="35"/>
      <c r="F49" s="36">
        <f>SUM(F2:F10,F12,F13:F16,F18:F19,F21:F22,F23:F25,F26:F44)</f>
      </c>
      <c r="G49" s="36">
        <f>SUM(G2:G10,G12,G13:G16,G18:G19,G21:G22,G23:G25,G26:G44)</f>
      </c>
      <c r="H49" s="36">
        <f>SUM(H2:H10,H12,H13:H16,H18:H19,H21:H22,H23:H25,H26:H44)</f>
      </c>
      <c r="I49" s="36">
        <f>SUM(I2:I10,I12,I13:I16,I18:I19,I21:I22,I23:I25,I26:I44)</f>
      </c>
      <c r="J49" s="36">
        <f>SUM(J2:J10,J12,J13:J16,J18:J19,J21:J22,J23:J25,J26:J44)</f>
      </c>
      <c r="K49" s="3"/>
      <c r="L49" s="3"/>
      <c r="M49" s="3"/>
    </row>
    <row x14ac:dyDescent="0.25" r="50" customHeight="1" ht="18">
      <c r="A50" s="1"/>
      <c r="B50" s="3"/>
      <c r="C50" s="3"/>
      <c r="D50" s="4">
        <f>SUM(D23:D25)</f>
      </c>
      <c r="E50" s="4">
        <f>SUM(E23:E25)</f>
      </c>
      <c r="F50" s="4">
        <f>SUM(F23:F25)</f>
      </c>
      <c r="G50" s="4">
        <f>SUM(G23:G25)</f>
      </c>
      <c r="H50" s="4">
        <f>SUM(H23:H25)</f>
      </c>
      <c r="I50" s="4">
        <f>SUM(I23:I25)</f>
      </c>
      <c r="J50" s="4">
        <f>SUM(J23:J25)</f>
      </c>
      <c r="K50" s="3"/>
      <c r="L50" s="3"/>
      <c r="M50" s="3"/>
    </row>
    <row x14ac:dyDescent="0.25" r="51" customHeight="1" ht="18">
      <c r="A51" s="1"/>
      <c r="B51" s="3"/>
      <c r="C51" s="3"/>
      <c r="D51" s="4">
        <f>1881*275</f>
      </c>
      <c r="E51" s="4">
        <f>1881*275</f>
      </c>
      <c r="F51" s="4">
        <f>1881*275</f>
      </c>
      <c r="G51" s="4">
        <f>1881*275</f>
      </c>
      <c r="H51" s="4">
        <f>1881*275</f>
      </c>
      <c r="I51" s="4">
        <f>1881*275</f>
      </c>
      <c r="J51" s="4">
        <f>1881*275</f>
      </c>
      <c r="K51" s="3"/>
      <c r="L51" s="3"/>
      <c r="M51" s="3"/>
    </row>
    <row x14ac:dyDescent="0.25" r="52" customHeight="1" ht="18">
      <c r="A52" s="1"/>
      <c r="B52" s="3"/>
      <c r="C52" s="3"/>
      <c r="D52" s="37">
        <f>D50/D51</f>
      </c>
      <c r="E52" s="37">
        <f>E50/E51</f>
      </c>
      <c r="F52" s="37">
        <f>F50/F51</f>
      </c>
      <c r="G52" s="37">
        <f>G50/G51</f>
      </c>
      <c r="H52" s="37">
        <f>H50/H51</f>
      </c>
      <c r="I52" s="37">
        <f>I50/I51</f>
      </c>
      <c r="J52" s="37">
        <f>J50/J51</f>
      </c>
      <c r="K52" s="3"/>
      <c r="L52" s="3"/>
      <c r="M5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</cols>
  <sheetData>
    <row x14ac:dyDescent="0.25" r="1" customHeight="1" ht="18">
      <c r="A1" s="1"/>
      <c r="B1" s="1"/>
    </row>
    <row x14ac:dyDescent="0.25" r="2" customHeight="1" ht="18">
      <c r="A2" s="1"/>
      <c r="B2" s="1"/>
    </row>
    <row x14ac:dyDescent="0.25" r="3" customHeight="1" ht="18">
      <c r="A3" s="1"/>
      <c r="B3" s="1"/>
    </row>
    <row x14ac:dyDescent="0.25" r="4" customHeight="1" ht="18">
      <c r="A4" s="1"/>
      <c r="B4" s="1"/>
    </row>
    <row x14ac:dyDescent="0.25" r="5" customHeight="1" ht="18">
      <c r="A5" s="1"/>
      <c r="B5" s="1"/>
    </row>
    <row x14ac:dyDescent="0.25" r="6" customHeight="1" ht="18">
      <c r="A6" s="1"/>
      <c r="B6" s="1" t="s">
        <v>1017</v>
      </c>
    </row>
    <row x14ac:dyDescent="0.25" r="7" customHeight="1" ht="18">
      <c r="A7" s="1"/>
      <c r="B7" s="1" t="s">
        <v>1018</v>
      </c>
    </row>
    <row x14ac:dyDescent="0.25" r="8" customHeight="1" ht="18">
      <c r="A8" s="1"/>
      <c r="B8" s="1" t="s">
        <v>1019</v>
      </c>
    </row>
    <row x14ac:dyDescent="0.25" r="9" customHeight="1" ht="18">
      <c r="A9" s="1"/>
      <c r="B9" s="1"/>
    </row>
    <row x14ac:dyDescent="0.25" r="10" customHeight="1" ht="18">
      <c r="A10" s="1"/>
      <c r="B10" s="1"/>
    </row>
    <row x14ac:dyDescent="0.25" r="11" customHeight="1" ht="18">
      <c r="A11" s="1"/>
      <c r="B11" s="1" t="s">
        <v>1020</v>
      </c>
    </row>
    <row x14ac:dyDescent="0.25" r="12" customHeight="1" ht="18">
      <c r="A12" s="1"/>
      <c r="B12" s="1" t="s">
        <v>1021</v>
      </c>
    </row>
    <row x14ac:dyDescent="0.25" r="13" customHeight="1" ht="18">
      <c r="A13" s="1"/>
      <c r="B13" s="1"/>
    </row>
    <row x14ac:dyDescent="0.25" r="14" customHeight="1" ht="18">
      <c r="A14" s="1"/>
      <c r="B14" s="1" t="s">
        <v>1022</v>
      </c>
    </row>
    <row x14ac:dyDescent="0.25" r="15" customHeight="1" ht="18">
      <c r="A15" s="1"/>
      <c r="B15" s="1" t="s">
        <v>1023</v>
      </c>
    </row>
    <row x14ac:dyDescent="0.25" r="16" customHeight="1" ht="18">
      <c r="A16" s="1"/>
      <c r="B16" s="1" t="s">
        <v>1024</v>
      </c>
    </row>
    <row x14ac:dyDescent="0.25" r="17" customHeight="1" ht="18">
      <c r="A17" s="1"/>
      <c r="B17" s="1" t="s">
        <v>1025</v>
      </c>
    </row>
    <row x14ac:dyDescent="0.25" r="18" customHeight="1" ht="18">
      <c r="A18" s="1"/>
      <c r="B18" s="1"/>
    </row>
    <row x14ac:dyDescent="0.25" r="19" customHeight="1" ht="18">
      <c r="A19" s="1"/>
      <c r="B19" s="1" t="s">
        <v>1026</v>
      </c>
    </row>
    <row x14ac:dyDescent="0.25" r="20" customHeight="1" ht="18">
      <c r="A20" s="1"/>
      <c r="B20" s="1"/>
    </row>
    <row x14ac:dyDescent="0.25" r="21" customHeight="1" ht="18">
      <c r="A21" s="1"/>
      <c r="B21" s="1"/>
    </row>
    <row x14ac:dyDescent="0.25" r="22" customHeight="1" ht="18">
      <c r="A22" s="1"/>
      <c r="B22" s="1"/>
    </row>
    <row x14ac:dyDescent="0.25" r="23" customHeight="1" ht="18">
      <c r="A23" s="1"/>
      <c r="B23" s="1"/>
    </row>
    <row x14ac:dyDescent="0.25" r="24" customHeight="1" ht="18">
      <c r="A24" s="1"/>
      <c r="B24" s="1" t="s">
        <v>1027</v>
      </c>
    </row>
    <row x14ac:dyDescent="0.25" r="25" customHeight="1" ht="18">
      <c r="A25" s="1"/>
      <c r="B25" s="1" t="s">
        <v>1028</v>
      </c>
    </row>
    <row x14ac:dyDescent="0.25" r="26" customHeight="1" ht="18">
      <c r="A26" s="1"/>
      <c r="B26" s="1" t="s">
        <v>1029</v>
      </c>
    </row>
    <row x14ac:dyDescent="0.25" r="27" customHeight="1" ht="18">
      <c r="A27" s="1"/>
      <c r="B27" s="1" t="s">
        <v>1030</v>
      </c>
    </row>
    <row x14ac:dyDescent="0.25" r="28" customHeight="1" ht="18">
      <c r="A28" s="1"/>
      <c r="B28" s="1" t="s">
        <v>1031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1.290714285714287" customWidth="1" bestFit="1"/>
    <col min="2" max="2" style="6" width="11.290714285714287" customWidth="1" bestFit="1"/>
    <col min="3" max="3" style="84" width="13.862142857142858" customWidth="1" bestFit="1"/>
    <col min="4" max="4" style="5" width="25.862142857142857" customWidth="1" bestFit="1"/>
    <col min="5" max="5" style="5" width="11.290714285714287" customWidth="1" bestFit="1"/>
    <col min="6" max="6" style="75" width="11.290714285714287" customWidth="1" bestFit="1"/>
    <col min="7" max="7" style="7" width="15.290714285714287" customWidth="1" bestFit="1"/>
    <col min="8" max="8" style="5" width="52.005" customWidth="1" bestFit="1"/>
    <col min="9" max="9" style="7" width="11.862142857142858" customWidth="1" bestFit="1"/>
    <col min="10" max="10" style="63" width="11.290714285714287" customWidth="1" bestFit="1"/>
  </cols>
  <sheetData>
    <row x14ac:dyDescent="0.25" r="1" customHeight="1" ht="26.399999999999995" customFormat="1" s="8">
      <c r="A1" s="39" t="s">
        <v>943</v>
      </c>
      <c r="B1" s="40" t="s">
        <v>944</v>
      </c>
      <c r="C1" s="43" t="s">
        <v>898</v>
      </c>
      <c r="D1" s="39" t="s">
        <v>945</v>
      </c>
      <c r="E1" s="39" t="s">
        <v>946</v>
      </c>
      <c r="F1" s="41" t="s">
        <v>947</v>
      </c>
      <c r="G1" s="40" t="s">
        <v>948</v>
      </c>
      <c r="H1" s="39" t="s">
        <v>949</v>
      </c>
      <c r="I1" s="42" t="s">
        <v>950</v>
      </c>
      <c r="J1" s="43" t="s">
        <v>951</v>
      </c>
    </row>
    <row x14ac:dyDescent="0.25" r="2" customHeight="1" ht="18">
      <c r="A2" s="50" t="s">
        <v>962</v>
      </c>
      <c r="B2" s="45" t="s">
        <v>1002</v>
      </c>
      <c r="C2" s="52" t="s">
        <v>900</v>
      </c>
      <c r="D2" s="50" t="s">
        <v>968</v>
      </c>
      <c r="E2" s="50" t="s">
        <v>955</v>
      </c>
      <c r="F2" s="51">
        <v>28.4</v>
      </c>
      <c r="G2" s="45">
        <v>1</v>
      </c>
      <c r="H2" s="50" t="s">
        <v>871</v>
      </c>
      <c r="I2" s="45">
        <v>1</v>
      </c>
      <c r="J2" s="52">
        <v>0.77</v>
      </c>
    </row>
    <row x14ac:dyDescent="0.25" r="3" customHeight="1" ht="18">
      <c r="A3" s="50" t="s">
        <v>962</v>
      </c>
      <c r="B3" s="45" t="s">
        <v>1002</v>
      </c>
      <c r="C3" s="52" t="s">
        <v>900</v>
      </c>
      <c r="D3" s="50" t="s">
        <v>968</v>
      </c>
      <c r="E3" s="50" t="s">
        <v>1003</v>
      </c>
      <c r="F3" s="51">
        <v>34.2</v>
      </c>
      <c r="G3" s="45">
        <v>1</v>
      </c>
      <c r="H3" s="50" t="s">
        <v>871</v>
      </c>
      <c r="I3" s="45">
        <v>1</v>
      </c>
      <c r="J3" s="52">
        <v>0.77</v>
      </c>
    </row>
    <row x14ac:dyDescent="0.25" r="4" customHeight="1" ht="18">
      <c r="A4" s="50" t="s">
        <v>962</v>
      </c>
      <c r="B4" s="45" t="s">
        <v>1002</v>
      </c>
      <c r="C4" s="52" t="s">
        <v>901</v>
      </c>
      <c r="D4" s="50" t="s">
        <v>969</v>
      </c>
      <c r="E4" s="50" t="s">
        <v>955</v>
      </c>
      <c r="F4" s="51">
        <v>33.6</v>
      </c>
      <c r="G4" s="45">
        <v>1</v>
      </c>
      <c r="H4" s="50" t="s">
        <v>871</v>
      </c>
      <c r="I4" s="45">
        <v>1</v>
      </c>
      <c r="J4" s="52">
        <v>0.77</v>
      </c>
    </row>
    <row x14ac:dyDescent="0.25" r="5" customHeight="1" ht="18">
      <c r="A5" s="50" t="s">
        <v>962</v>
      </c>
      <c r="B5" s="45" t="s">
        <v>1002</v>
      </c>
      <c r="C5" s="52" t="s">
        <v>901</v>
      </c>
      <c r="D5" s="50" t="s">
        <v>969</v>
      </c>
      <c r="E5" s="50" t="s">
        <v>1003</v>
      </c>
      <c r="F5" s="51">
        <v>33.2</v>
      </c>
      <c r="G5" s="45">
        <v>1</v>
      </c>
      <c r="H5" s="50" t="s">
        <v>871</v>
      </c>
      <c r="I5" s="45">
        <v>1</v>
      </c>
      <c r="J5" s="52">
        <v>0.77</v>
      </c>
    </row>
    <row x14ac:dyDescent="0.25" r="6" customHeight="1" ht="18">
      <c r="A6" s="50" t="s">
        <v>962</v>
      </c>
      <c r="B6" s="45" t="s">
        <v>1002</v>
      </c>
      <c r="C6" s="52" t="s">
        <v>901</v>
      </c>
      <c r="D6" s="50" t="s">
        <v>1004</v>
      </c>
      <c r="E6" s="50" t="s">
        <v>955</v>
      </c>
      <c r="F6" s="51">
        <v>10.25</v>
      </c>
      <c r="G6" s="45">
        <v>1</v>
      </c>
      <c r="H6" s="50" t="s">
        <v>871</v>
      </c>
      <c r="I6" s="45">
        <v>1</v>
      </c>
      <c r="J6" s="52">
        <v>0.77</v>
      </c>
    </row>
    <row x14ac:dyDescent="0.25" r="7" customHeight="1" ht="18">
      <c r="A7" s="50" t="s">
        <v>962</v>
      </c>
      <c r="B7" s="45" t="s">
        <v>1002</v>
      </c>
      <c r="C7" s="52" t="s">
        <v>901</v>
      </c>
      <c r="D7" s="50" t="s">
        <v>1004</v>
      </c>
      <c r="E7" s="50" t="s">
        <v>1003</v>
      </c>
      <c r="F7" s="51">
        <v>10.9</v>
      </c>
      <c r="G7" s="45">
        <v>1</v>
      </c>
      <c r="H7" s="50" t="s">
        <v>871</v>
      </c>
      <c r="I7" s="45">
        <v>1</v>
      </c>
      <c r="J7" s="52">
        <v>0.77</v>
      </c>
    </row>
    <row x14ac:dyDescent="0.25" r="8" customHeight="1" ht="18">
      <c r="A8" s="50" t="s">
        <v>962</v>
      </c>
      <c r="B8" s="45" t="s">
        <v>1002</v>
      </c>
      <c r="C8" s="52" t="s">
        <v>902</v>
      </c>
      <c r="D8" s="50" t="s">
        <v>970</v>
      </c>
      <c r="E8" s="50" t="s">
        <v>955</v>
      </c>
      <c r="F8" s="51">
        <v>33.87</v>
      </c>
      <c r="G8" s="45">
        <v>1</v>
      </c>
      <c r="H8" s="50" t="s">
        <v>871</v>
      </c>
      <c r="I8" s="45">
        <v>1</v>
      </c>
      <c r="J8" s="52">
        <v>0.77</v>
      </c>
    </row>
    <row x14ac:dyDescent="0.25" r="9" customHeight="1" ht="18">
      <c r="A9" s="50" t="s">
        <v>962</v>
      </c>
      <c r="B9" s="45" t="s">
        <v>1002</v>
      </c>
      <c r="C9" s="52" t="s">
        <v>902</v>
      </c>
      <c r="D9" s="50" t="s">
        <v>970</v>
      </c>
      <c r="E9" s="50" t="s">
        <v>1003</v>
      </c>
      <c r="F9" s="51">
        <v>38.4</v>
      </c>
      <c r="G9" s="45">
        <v>1</v>
      </c>
      <c r="H9" s="50" t="s">
        <v>871</v>
      </c>
      <c r="I9" s="45">
        <v>1</v>
      </c>
      <c r="J9" s="52">
        <v>0.77</v>
      </c>
    </row>
    <row x14ac:dyDescent="0.25" r="10" customHeight="1" ht="18">
      <c r="A10" s="50" t="s">
        <v>962</v>
      </c>
      <c r="B10" s="45" t="s">
        <v>1002</v>
      </c>
      <c r="C10" s="52" t="s">
        <v>903</v>
      </c>
      <c r="D10" s="50" t="s">
        <v>971</v>
      </c>
      <c r="E10" s="50" t="s">
        <v>955</v>
      </c>
      <c r="F10" s="51">
        <v>33.87</v>
      </c>
      <c r="G10" s="45">
        <v>1</v>
      </c>
      <c r="H10" s="50" t="s">
        <v>871</v>
      </c>
      <c r="I10" s="45">
        <v>1</v>
      </c>
      <c r="J10" s="52">
        <v>0.77</v>
      </c>
    </row>
    <row x14ac:dyDescent="0.25" r="11" customHeight="1" ht="18">
      <c r="A11" s="50" t="s">
        <v>962</v>
      </c>
      <c r="B11" s="45" t="s">
        <v>1002</v>
      </c>
      <c r="C11" s="52" t="s">
        <v>903</v>
      </c>
      <c r="D11" s="50" t="s">
        <v>971</v>
      </c>
      <c r="E11" s="50" t="s">
        <v>1003</v>
      </c>
      <c r="F11" s="51">
        <v>38.4</v>
      </c>
      <c r="G11" s="45">
        <v>1</v>
      </c>
      <c r="H11" s="50" t="s">
        <v>871</v>
      </c>
      <c r="I11" s="45">
        <v>1</v>
      </c>
      <c r="J11" s="52">
        <v>0.77</v>
      </c>
    </row>
    <row x14ac:dyDescent="0.25" r="12" customHeight="1" ht="18">
      <c r="A12" s="50" t="s">
        <v>962</v>
      </c>
      <c r="B12" s="45" t="s">
        <v>1002</v>
      </c>
      <c r="C12" s="52" t="s">
        <v>904</v>
      </c>
      <c r="D12" s="50" t="s">
        <v>972</v>
      </c>
      <c r="E12" s="50" t="s">
        <v>955</v>
      </c>
      <c r="F12" s="51">
        <v>42.5</v>
      </c>
      <c r="G12" s="45">
        <v>1</v>
      </c>
      <c r="H12" s="50" t="s">
        <v>871</v>
      </c>
      <c r="I12" s="45">
        <v>1</v>
      </c>
      <c r="J12" s="52">
        <v>0.77</v>
      </c>
    </row>
    <row x14ac:dyDescent="0.25" r="13" customHeight="1" ht="18">
      <c r="A13" s="50" t="s">
        <v>962</v>
      </c>
      <c r="B13" s="45" t="s">
        <v>1002</v>
      </c>
      <c r="C13" s="52" t="s">
        <v>904</v>
      </c>
      <c r="D13" s="50" t="s">
        <v>972</v>
      </c>
      <c r="E13" s="50" t="s">
        <v>1003</v>
      </c>
      <c r="F13" s="51">
        <v>45.5</v>
      </c>
      <c r="G13" s="45">
        <v>1</v>
      </c>
      <c r="H13" s="50" t="s">
        <v>871</v>
      </c>
      <c r="I13" s="45">
        <v>1</v>
      </c>
      <c r="J13" s="52">
        <v>0.77</v>
      </c>
    </row>
    <row x14ac:dyDescent="0.25" r="14" customHeight="1" ht="18">
      <c r="A14" s="50" t="s">
        <v>962</v>
      </c>
      <c r="B14" s="45" t="s">
        <v>1002</v>
      </c>
      <c r="C14" s="52" t="s">
        <v>904</v>
      </c>
      <c r="D14" s="50" t="s">
        <v>1005</v>
      </c>
      <c r="E14" s="50" t="s">
        <v>955</v>
      </c>
      <c r="F14" s="51">
        <v>10.25</v>
      </c>
      <c r="G14" s="45">
        <v>1</v>
      </c>
      <c r="H14" s="50" t="s">
        <v>871</v>
      </c>
      <c r="I14" s="45">
        <v>1</v>
      </c>
      <c r="J14" s="52">
        <v>0.77</v>
      </c>
    </row>
    <row x14ac:dyDescent="0.25" r="15" customHeight="1" ht="18">
      <c r="A15" s="50" t="s">
        <v>962</v>
      </c>
      <c r="B15" s="45" t="s">
        <v>1002</v>
      </c>
      <c r="C15" s="52" t="s">
        <v>904</v>
      </c>
      <c r="D15" s="50" t="s">
        <v>1005</v>
      </c>
      <c r="E15" s="50" t="s">
        <v>1003</v>
      </c>
      <c r="F15" s="51">
        <v>10.9</v>
      </c>
      <c r="G15" s="45">
        <v>1</v>
      </c>
      <c r="H15" s="50" t="s">
        <v>871</v>
      </c>
      <c r="I15" s="45">
        <v>1</v>
      </c>
      <c r="J15" s="52">
        <v>0.77</v>
      </c>
    </row>
    <row x14ac:dyDescent="0.25" r="16" customHeight="1" ht="18">
      <c r="A16" s="50" t="s">
        <v>962</v>
      </c>
      <c r="B16" s="45" t="s">
        <v>1002</v>
      </c>
      <c r="C16" s="52" t="s">
        <v>905</v>
      </c>
      <c r="D16" s="50" t="s">
        <v>973</v>
      </c>
      <c r="E16" s="50" t="s">
        <v>955</v>
      </c>
      <c r="F16" s="51">
        <v>42.5</v>
      </c>
      <c r="G16" s="45">
        <v>1</v>
      </c>
      <c r="H16" s="50" t="s">
        <v>871</v>
      </c>
      <c r="I16" s="45">
        <v>1</v>
      </c>
      <c r="J16" s="52">
        <v>0.77</v>
      </c>
    </row>
    <row x14ac:dyDescent="0.25" r="17" customHeight="1" ht="18">
      <c r="A17" s="50" t="s">
        <v>962</v>
      </c>
      <c r="B17" s="45" t="s">
        <v>1002</v>
      </c>
      <c r="C17" s="52" t="s">
        <v>905</v>
      </c>
      <c r="D17" s="50" t="s">
        <v>973</v>
      </c>
      <c r="E17" s="50" t="s">
        <v>1003</v>
      </c>
      <c r="F17" s="51">
        <v>45.5</v>
      </c>
      <c r="G17" s="45">
        <v>1</v>
      </c>
      <c r="H17" s="50" t="s">
        <v>871</v>
      </c>
      <c r="I17" s="45">
        <v>1</v>
      </c>
      <c r="J17" s="52">
        <v>0.77</v>
      </c>
    </row>
    <row x14ac:dyDescent="0.25" r="18" customHeight="1" ht="18">
      <c r="A18" s="50" t="s">
        <v>962</v>
      </c>
      <c r="B18" s="45" t="s">
        <v>1002</v>
      </c>
      <c r="C18" s="52" t="s">
        <v>906</v>
      </c>
      <c r="D18" s="50" t="s">
        <v>974</v>
      </c>
      <c r="E18" s="50" t="s">
        <v>955</v>
      </c>
      <c r="F18" s="51">
        <v>47.8</v>
      </c>
      <c r="G18" s="45">
        <v>1</v>
      </c>
      <c r="H18" s="50" t="s">
        <v>871</v>
      </c>
      <c r="I18" s="45">
        <v>1</v>
      </c>
      <c r="J18" s="52">
        <v>0.77</v>
      </c>
    </row>
    <row x14ac:dyDescent="0.25" r="19" customHeight="1" ht="18">
      <c r="A19" s="50" t="s">
        <v>962</v>
      </c>
      <c r="B19" s="45" t="s">
        <v>1002</v>
      </c>
      <c r="C19" s="52" t="s">
        <v>906</v>
      </c>
      <c r="D19" s="50" t="s">
        <v>974</v>
      </c>
      <c r="E19" s="50" t="s">
        <v>1003</v>
      </c>
      <c r="F19" s="51">
        <v>32.8</v>
      </c>
      <c r="G19" s="45">
        <v>1</v>
      </c>
      <c r="H19" s="50" t="s">
        <v>871</v>
      </c>
      <c r="I19" s="45">
        <v>1</v>
      </c>
      <c r="J19" s="52">
        <v>0.77</v>
      </c>
    </row>
    <row x14ac:dyDescent="0.25" r="20" customHeight="1" ht="18">
      <c r="A20" s="50" t="s">
        <v>962</v>
      </c>
      <c r="B20" s="45" t="s">
        <v>1002</v>
      </c>
      <c r="C20" s="52" t="s">
        <v>907</v>
      </c>
      <c r="D20" s="50" t="s">
        <v>907</v>
      </c>
      <c r="E20" s="50" t="s">
        <v>955</v>
      </c>
      <c r="F20" s="51">
        <v>42.5</v>
      </c>
      <c r="G20" s="45">
        <v>1</v>
      </c>
      <c r="H20" s="50" t="s">
        <v>871</v>
      </c>
      <c r="I20" s="45">
        <v>1</v>
      </c>
      <c r="J20" s="52">
        <v>0.77</v>
      </c>
    </row>
    <row x14ac:dyDescent="0.25" r="21" customHeight="1" ht="18">
      <c r="A21" s="50" t="s">
        <v>962</v>
      </c>
      <c r="B21" s="45" t="s">
        <v>1002</v>
      </c>
      <c r="C21" s="52" t="s">
        <v>907</v>
      </c>
      <c r="D21" s="50" t="s">
        <v>907</v>
      </c>
      <c r="E21" s="50" t="s">
        <v>1003</v>
      </c>
      <c r="F21" s="51">
        <v>42.5</v>
      </c>
      <c r="G21" s="45">
        <v>1</v>
      </c>
      <c r="H21" s="50" t="s">
        <v>871</v>
      </c>
      <c r="I21" s="45">
        <v>1</v>
      </c>
      <c r="J21" s="52">
        <v>0.77</v>
      </c>
    </row>
    <row x14ac:dyDescent="0.25" r="22" customHeight="1" ht="18">
      <c r="A22" s="50" t="s">
        <v>962</v>
      </c>
      <c r="B22" s="45" t="s">
        <v>1002</v>
      </c>
      <c r="C22" s="52" t="s">
        <v>908</v>
      </c>
      <c r="D22" s="50" t="s">
        <v>975</v>
      </c>
      <c r="E22" s="50" t="s">
        <v>955</v>
      </c>
      <c r="F22" s="51">
        <v>33.6</v>
      </c>
      <c r="G22" s="45">
        <v>1</v>
      </c>
      <c r="H22" s="50" t="s">
        <v>871</v>
      </c>
      <c r="I22" s="45">
        <v>1</v>
      </c>
      <c r="J22" s="52">
        <v>0.77</v>
      </c>
    </row>
    <row x14ac:dyDescent="0.25" r="23" customHeight="1" ht="18">
      <c r="A23" s="50" t="s">
        <v>962</v>
      </c>
      <c r="B23" s="45" t="s">
        <v>1002</v>
      </c>
      <c r="C23" s="52" t="s">
        <v>908</v>
      </c>
      <c r="D23" s="50" t="s">
        <v>975</v>
      </c>
      <c r="E23" s="50" t="s">
        <v>1003</v>
      </c>
      <c r="F23" s="51">
        <v>33.2</v>
      </c>
      <c r="G23" s="45">
        <v>1</v>
      </c>
      <c r="H23" s="50" t="s">
        <v>871</v>
      </c>
      <c r="I23" s="45">
        <v>1</v>
      </c>
      <c r="J23" s="52">
        <v>0.77</v>
      </c>
    </row>
    <row x14ac:dyDescent="0.25" r="24" customHeight="1" ht="18">
      <c r="A24" s="50" t="s">
        <v>962</v>
      </c>
      <c r="B24" s="45" t="s">
        <v>1002</v>
      </c>
      <c r="C24" s="52" t="s">
        <v>927</v>
      </c>
      <c r="D24" s="50" t="s">
        <v>927</v>
      </c>
      <c r="E24" s="50" t="s">
        <v>955</v>
      </c>
      <c r="F24" s="51">
        <v>21.3</v>
      </c>
      <c r="G24" s="45">
        <v>1</v>
      </c>
      <c r="H24" s="50" t="s">
        <v>877</v>
      </c>
      <c r="I24" s="45">
        <v>1</v>
      </c>
      <c r="J24" s="52">
        <v>0.85</v>
      </c>
    </row>
    <row x14ac:dyDescent="0.25" r="25" customHeight="1" ht="18">
      <c r="A25" s="50" t="s">
        <v>962</v>
      </c>
      <c r="B25" s="45" t="s">
        <v>1002</v>
      </c>
      <c r="C25" s="52" t="s">
        <v>927</v>
      </c>
      <c r="D25" s="50" t="s">
        <v>927</v>
      </c>
      <c r="E25" s="50" t="s">
        <v>1003</v>
      </c>
      <c r="F25" s="45">
        <v>32</v>
      </c>
      <c r="G25" s="45">
        <v>1</v>
      </c>
      <c r="H25" s="50" t="s">
        <v>877</v>
      </c>
      <c r="I25" s="45">
        <v>1</v>
      </c>
      <c r="J25" s="52">
        <v>0.85</v>
      </c>
    </row>
    <row x14ac:dyDescent="0.25" r="26" customHeight="1" ht="18">
      <c r="A26" s="50" t="s">
        <v>962</v>
      </c>
      <c r="B26" s="45" t="s">
        <v>1002</v>
      </c>
      <c r="C26" s="52" t="s">
        <v>1006</v>
      </c>
      <c r="D26" s="50" t="s">
        <v>1007</v>
      </c>
      <c r="E26" s="50" t="s">
        <v>955</v>
      </c>
      <c r="F26" s="45">
        <v>10</v>
      </c>
      <c r="G26" s="45">
        <v>1</v>
      </c>
      <c r="H26" s="50" t="s">
        <v>879</v>
      </c>
      <c r="I26" s="45">
        <v>1</v>
      </c>
      <c r="J26" s="52">
        <v>0.85</v>
      </c>
    </row>
    <row x14ac:dyDescent="0.25" r="27" customHeight="1" ht="18">
      <c r="A27" s="50" t="s">
        <v>962</v>
      </c>
      <c r="B27" s="45" t="s">
        <v>1002</v>
      </c>
      <c r="C27" s="52" t="s">
        <v>1006</v>
      </c>
      <c r="D27" s="50" t="s">
        <v>1007</v>
      </c>
      <c r="E27" s="50" t="s">
        <v>1003</v>
      </c>
      <c r="F27" s="51">
        <v>9.65</v>
      </c>
      <c r="G27" s="45">
        <v>1</v>
      </c>
      <c r="H27" s="50" t="s">
        <v>879</v>
      </c>
      <c r="I27" s="45">
        <v>1</v>
      </c>
      <c r="J27" s="52">
        <v>0.85</v>
      </c>
    </row>
    <row x14ac:dyDescent="0.25" r="28" customHeight="1" ht="18">
      <c r="A28" s="50" t="s">
        <v>962</v>
      </c>
      <c r="B28" s="45" t="s">
        <v>1002</v>
      </c>
      <c r="C28" s="52" t="s">
        <v>1008</v>
      </c>
      <c r="D28" s="50" t="s">
        <v>1009</v>
      </c>
      <c r="E28" s="50" t="s">
        <v>955</v>
      </c>
      <c r="F28" s="51">
        <v>9.5</v>
      </c>
      <c r="G28" s="45">
        <v>1</v>
      </c>
      <c r="H28" s="50" t="s">
        <v>879</v>
      </c>
      <c r="I28" s="45">
        <v>1</v>
      </c>
      <c r="J28" s="52">
        <v>0.85</v>
      </c>
    </row>
    <row x14ac:dyDescent="0.25" r="29" customHeight="1" ht="18">
      <c r="A29" s="50" t="s">
        <v>962</v>
      </c>
      <c r="B29" s="45" t="s">
        <v>1002</v>
      </c>
      <c r="C29" s="52" t="s">
        <v>1008</v>
      </c>
      <c r="D29" s="50" t="s">
        <v>1009</v>
      </c>
      <c r="E29" s="50" t="s">
        <v>1003</v>
      </c>
      <c r="F29" s="51">
        <v>10.2</v>
      </c>
      <c r="G29" s="45">
        <v>1</v>
      </c>
      <c r="H29" s="50" t="s">
        <v>879</v>
      </c>
      <c r="I29" s="45">
        <v>1</v>
      </c>
      <c r="J29" s="52">
        <v>0.85</v>
      </c>
    </row>
    <row x14ac:dyDescent="0.25" r="30" customHeight="1" ht="18">
      <c r="A30" s="50" t="s">
        <v>962</v>
      </c>
      <c r="B30" s="45" t="s">
        <v>1002</v>
      </c>
      <c r="C30" s="52" t="s">
        <v>1010</v>
      </c>
      <c r="D30" s="50" t="s">
        <v>1011</v>
      </c>
      <c r="E30" s="50" t="s">
        <v>955</v>
      </c>
      <c r="F30" s="51">
        <v>9.5</v>
      </c>
      <c r="G30" s="45">
        <v>1</v>
      </c>
      <c r="H30" s="50" t="s">
        <v>879</v>
      </c>
      <c r="I30" s="45">
        <v>1</v>
      </c>
      <c r="J30" s="52">
        <v>0.85</v>
      </c>
    </row>
    <row x14ac:dyDescent="0.25" r="31" customHeight="1" ht="18">
      <c r="A31" s="50" t="s">
        <v>962</v>
      </c>
      <c r="B31" s="45" t="s">
        <v>1002</v>
      </c>
      <c r="C31" s="52" t="s">
        <v>1010</v>
      </c>
      <c r="D31" s="50" t="s">
        <v>1011</v>
      </c>
      <c r="E31" s="50" t="s">
        <v>1003</v>
      </c>
      <c r="F31" s="51">
        <v>10.2</v>
      </c>
      <c r="G31" s="45">
        <v>1</v>
      </c>
      <c r="H31" s="50" t="s">
        <v>879</v>
      </c>
      <c r="I31" s="45">
        <v>1</v>
      </c>
      <c r="J31" s="52">
        <v>0.85</v>
      </c>
    </row>
    <row x14ac:dyDescent="0.25" r="32" customHeight="1" ht="18">
      <c r="A32" s="50" t="s">
        <v>962</v>
      </c>
      <c r="B32" s="45" t="s">
        <v>1002</v>
      </c>
      <c r="C32" s="52" t="s">
        <v>928</v>
      </c>
      <c r="D32" s="50" t="s">
        <v>1012</v>
      </c>
      <c r="E32" s="50" t="s">
        <v>955</v>
      </c>
      <c r="F32" s="51">
        <v>5.814</v>
      </c>
      <c r="G32" s="45">
        <v>1</v>
      </c>
      <c r="H32" s="50" t="s">
        <v>879</v>
      </c>
      <c r="I32" s="45">
        <v>1</v>
      </c>
      <c r="J32" s="52">
        <v>0.85</v>
      </c>
    </row>
    <row x14ac:dyDescent="0.25" r="33" customHeight="1" ht="18">
      <c r="A33" s="50" t="s">
        <v>962</v>
      </c>
      <c r="B33" s="45" t="s">
        <v>1002</v>
      </c>
      <c r="C33" s="52" t="s">
        <v>910</v>
      </c>
      <c r="D33" s="50" t="s">
        <v>964</v>
      </c>
      <c r="E33" s="50" t="s">
        <v>955</v>
      </c>
      <c r="F33" s="51">
        <v>19.3</v>
      </c>
      <c r="G33" s="45">
        <v>1</v>
      </c>
      <c r="H33" s="50" t="s">
        <v>877</v>
      </c>
      <c r="I33" s="45">
        <v>1</v>
      </c>
      <c r="J33" s="52">
        <v>0.85</v>
      </c>
    </row>
    <row x14ac:dyDescent="0.25" r="34" customHeight="1" ht="18">
      <c r="A34" s="50" t="s">
        <v>962</v>
      </c>
      <c r="B34" s="45" t="s">
        <v>1002</v>
      </c>
      <c r="C34" s="52" t="s">
        <v>910</v>
      </c>
      <c r="D34" s="50" t="s">
        <v>964</v>
      </c>
      <c r="E34" s="50" t="s">
        <v>1003</v>
      </c>
      <c r="F34" s="51">
        <v>19.2</v>
      </c>
      <c r="G34" s="45">
        <v>1</v>
      </c>
      <c r="H34" s="50" t="s">
        <v>877</v>
      </c>
      <c r="I34" s="45">
        <v>1</v>
      </c>
      <c r="J34" s="52">
        <v>0.85</v>
      </c>
    </row>
    <row x14ac:dyDescent="0.25" r="35" customHeight="1" ht="18">
      <c r="A35" s="50" t="s">
        <v>962</v>
      </c>
      <c r="B35" s="45" t="s">
        <v>1002</v>
      </c>
      <c r="C35" s="52" t="s">
        <v>912</v>
      </c>
      <c r="D35" s="50" t="s">
        <v>912</v>
      </c>
      <c r="E35" s="50" t="s">
        <v>955</v>
      </c>
      <c r="F35" s="51">
        <v>10.9</v>
      </c>
      <c r="G35" s="45">
        <v>1</v>
      </c>
      <c r="H35" s="50" t="s">
        <v>877</v>
      </c>
      <c r="I35" s="45">
        <v>1</v>
      </c>
      <c r="J35" s="52">
        <v>0.85</v>
      </c>
    </row>
    <row x14ac:dyDescent="0.25" r="36" customHeight="1" ht="18">
      <c r="A36" s="50" t="s">
        <v>962</v>
      </c>
      <c r="B36" s="45" t="s">
        <v>1002</v>
      </c>
      <c r="C36" s="52" t="s">
        <v>914</v>
      </c>
      <c r="D36" s="50" t="s">
        <v>914</v>
      </c>
      <c r="E36" s="50" t="s">
        <v>955</v>
      </c>
      <c r="F36" s="51">
        <v>10.9</v>
      </c>
      <c r="G36" s="45">
        <v>1</v>
      </c>
      <c r="H36" s="50" t="s">
        <v>877</v>
      </c>
      <c r="I36" s="45">
        <v>1</v>
      </c>
      <c r="J36" s="52">
        <v>0.85</v>
      </c>
    </row>
    <row x14ac:dyDescent="0.25" r="37" customHeight="1" ht="18">
      <c r="A37" s="50" t="s">
        <v>962</v>
      </c>
      <c r="B37" s="45" t="s">
        <v>1002</v>
      </c>
      <c r="C37" s="52" t="s">
        <v>913</v>
      </c>
      <c r="D37" s="50" t="s">
        <v>913</v>
      </c>
      <c r="E37" s="50" t="s">
        <v>955</v>
      </c>
      <c r="F37" s="51">
        <v>10.9</v>
      </c>
      <c r="G37" s="45">
        <v>1</v>
      </c>
      <c r="H37" s="50" t="s">
        <v>877</v>
      </c>
      <c r="I37" s="45">
        <v>1</v>
      </c>
      <c r="J37" s="52">
        <v>0.85</v>
      </c>
    </row>
    <row x14ac:dyDescent="0.25" r="38" customHeight="1" ht="18">
      <c r="A38" s="50" t="s">
        <v>962</v>
      </c>
      <c r="B38" s="45" t="s">
        <v>1002</v>
      </c>
      <c r="C38" s="52" t="s">
        <v>911</v>
      </c>
      <c r="D38" s="50" t="s">
        <v>911</v>
      </c>
      <c r="E38" s="50" t="s">
        <v>955</v>
      </c>
      <c r="F38" s="51">
        <v>10.9</v>
      </c>
      <c r="G38" s="45">
        <v>1</v>
      </c>
      <c r="H38" s="50" t="s">
        <v>877</v>
      </c>
      <c r="I38" s="45">
        <v>1</v>
      </c>
      <c r="J38" s="52">
        <v>0.85</v>
      </c>
    </row>
    <row x14ac:dyDescent="0.25" r="39" customHeight="1" ht="18">
      <c r="A39" s="50" t="s">
        <v>962</v>
      </c>
      <c r="B39" s="45" t="s">
        <v>1002</v>
      </c>
      <c r="C39" s="52" t="s">
        <v>916</v>
      </c>
      <c r="D39" s="50" t="s">
        <v>992</v>
      </c>
      <c r="E39" s="50" t="s">
        <v>955</v>
      </c>
      <c r="F39" s="51">
        <v>20.2</v>
      </c>
      <c r="G39" s="45">
        <v>1</v>
      </c>
      <c r="H39" s="50" t="s">
        <v>875</v>
      </c>
      <c r="I39" s="45">
        <v>1</v>
      </c>
      <c r="J39" s="52">
        <v>0.85</v>
      </c>
    </row>
    <row x14ac:dyDescent="0.25" r="40" customHeight="1" ht="18">
      <c r="A40" s="50" t="s">
        <v>962</v>
      </c>
      <c r="B40" s="45" t="s">
        <v>1002</v>
      </c>
      <c r="C40" s="52" t="s">
        <v>916</v>
      </c>
      <c r="D40" s="50" t="s">
        <v>992</v>
      </c>
      <c r="E40" s="50" t="s">
        <v>1003</v>
      </c>
      <c r="F40" s="51">
        <v>20.2</v>
      </c>
      <c r="G40" s="45">
        <v>1</v>
      </c>
      <c r="H40" s="50" t="s">
        <v>875</v>
      </c>
      <c r="I40" s="45">
        <v>1</v>
      </c>
      <c r="J40" s="52">
        <v>0.85</v>
      </c>
    </row>
    <row x14ac:dyDescent="0.25" r="41" customHeight="1" ht="18">
      <c r="A41" s="50" t="s">
        <v>962</v>
      </c>
      <c r="B41" s="45" t="s">
        <v>1002</v>
      </c>
      <c r="C41" s="52" t="s">
        <v>917</v>
      </c>
      <c r="D41" s="50" t="s">
        <v>993</v>
      </c>
      <c r="E41" s="50" t="s">
        <v>955</v>
      </c>
      <c r="F41" s="51">
        <v>20.2</v>
      </c>
      <c r="G41" s="45">
        <v>1</v>
      </c>
      <c r="H41" s="50" t="s">
        <v>875</v>
      </c>
      <c r="I41" s="45">
        <v>1</v>
      </c>
      <c r="J41" s="52">
        <v>0.85</v>
      </c>
    </row>
    <row x14ac:dyDescent="0.25" r="42" customHeight="1" ht="18">
      <c r="A42" s="50" t="s">
        <v>962</v>
      </c>
      <c r="B42" s="45" t="s">
        <v>1002</v>
      </c>
      <c r="C42" s="52" t="s">
        <v>917</v>
      </c>
      <c r="D42" s="50" t="s">
        <v>1013</v>
      </c>
      <c r="E42" s="50" t="s">
        <v>1003</v>
      </c>
      <c r="F42" s="51">
        <v>20.2</v>
      </c>
      <c r="G42" s="45">
        <v>1</v>
      </c>
      <c r="H42" s="50" t="s">
        <v>875</v>
      </c>
      <c r="I42" s="45">
        <v>1</v>
      </c>
      <c r="J42" s="52">
        <v>0.85</v>
      </c>
    </row>
    <row x14ac:dyDescent="0.25" r="43" customHeight="1" ht="18">
      <c r="A43" s="50" t="s">
        <v>962</v>
      </c>
      <c r="B43" s="45" t="s">
        <v>1002</v>
      </c>
      <c r="C43" s="52" t="s">
        <v>919</v>
      </c>
      <c r="D43" s="50" t="s">
        <v>965</v>
      </c>
      <c r="E43" s="50" t="s">
        <v>955</v>
      </c>
      <c r="F43" s="59">
        <v>20</v>
      </c>
      <c r="G43" s="45">
        <v>1</v>
      </c>
      <c r="H43" s="50" t="s">
        <v>1014</v>
      </c>
      <c r="I43" s="45">
        <v>2</v>
      </c>
      <c r="J43" s="52">
        <v>0.85</v>
      </c>
    </row>
    <row x14ac:dyDescent="0.25" r="44" customHeight="1" ht="18">
      <c r="A44" s="50" t="s">
        <v>962</v>
      </c>
      <c r="B44" s="45" t="s">
        <v>1002</v>
      </c>
      <c r="C44" s="52" t="s">
        <v>919</v>
      </c>
      <c r="D44" s="50" t="s">
        <v>965</v>
      </c>
      <c r="E44" s="50" t="s">
        <v>1003</v>
      </c>
      <c r="F44" s="59">
        <v>20</v>
      </c>
      <c r="G44" s="45">
        <v>1</v>
      </c>
      <c r="H44" s="50" t="s">
        <v>1014</v>
      </c>
      <c r="I44" s="45">
        <v>2</v>
      </c>
      <c r="J44" s="52">
        <v>0.85</v>
      </c>
    </row>
    <row x14ac:dyDescent="0.25" r="45" customHeight="1" ht="18">
      <c r="A45" s="50" t="s">
        <v>952</v>
      </c>
      <c r="B45" s="45" t="s">
        <v>1002</v>
      </c>
      <c r="C45" s="52" t="s">
        <v>921</v>
      </c>
      <c r="D45" s="50" t="s">
        <v>954</v>
      </c>
      <c r="E45" s="50" t="s">
        <v>955</v>
      </c>
      <c r="F45" s="51">
        <v>22.5</v>
      </c>
      <c r="G45" s="45">
        <v>1</v>
      </c>
      <c r="H45" s="50" t="s">
        <v>1015</v>
      </c>
      <c r="I45" s="45">
        <v>3</v>
      </c>
      <c r="J45" s="52">
        <v>0.85</v>
      </c>
    </row>
    <row x14ac:dyDescent="0.25" r="46" customHeight="1" ht="18">
      <c r="A46" s="50" t="s">
        <v>952</v>
      </c>
      <c r="B46" s="45" t="s">
        <v>1002</v>
      </c>
      <c r="C46" s="52" t="s">
        <v>921</v>
      </c>
      <c r="D46" s="50" t="s">
        <v>954</v>
      </c>
      <c r="E46" s="50" t="s">
        <v>1003</v>
      </c>
      <c r="F46" s="51">
        <v>22.5</v>
      </c>
      <c r="G46" s="45">
        <v>1</v>
      </c>
      <c r="H46" s="50" t="s">
        <v>1015</v>
      </c>
      <c r="I46" s="45">
        <v>3</v>
      </c>
      <c r="J46" s="52">
        <v>0.85</v>
      </c>
    </row>
    <row x14ac:dyDescent="0.25" r="47" customHeight="1" ht="18">
      <c r="A47" s="50" t="s">
        <v>952</v>
      </c>
      <c r="B47" s="45" t="s">
        <v>1002</v>
      </c>
      <c r="C47" s="52" t="s">
        <v>921</v>
      </c>
      <c r="D47" s="50" t="s">
        <v>977</v>
      </c>
      <c r="E47" s="50" t="s">
        <v>955</v>
      </c>
      <c r="F47" s="45">
        <v>19</v>
      </c>
      <c r="G47" s="45">
        <v>1</v>
      </c>
      <c r="H47" s="50" t="s">
        <v>1015</v>
      </c>
      <c r="I47" s="45">
        <v>3</v>
      </c>
      <c r="J47" s="52">
        <v>0.85</v>
      </c>
    </row>
    <row x14ac:dyDescent="0.25" r="48" customHeight="1" ht="18">
      <c r="A48" s="50" t="s">
        <v>952</v>
      </c>
      <c r="B48" s="45" t="s">
        <v>1002</v>
      </c>
      <c r="C48" s="52" t="s">
        <v>921</v>
      </c>
      <c r="D48" s="50" t="s">
        <v>977</v>
      </c>
      <c r="E48" s="50" t="s">
        <v>1003</v>
      </c>
      <c r="F48" s="45">
        <v>19</v>
      </c>
      <c r="G48" s="45">
        <v>1</v>
      </c>
      <c r="H48" s="50" t="s">
        <v>1015</v>
      </c>
      <c r="I48" s="45">
        <v>3</v>
      </c>
      <c r="J48" s="52">
        <v>0.85</v>
      </c>
    </row>
    <row x14ac:dyDescent="0.25" r="49" customHeight="1" ht="18">
      <c r="A49" s="50" t="s">
        <v>952</v>
      </c>
      <c r="B49" s="45" t="s">
        <v>1002</v>
      </c>
      <c r="C49" s="52" t="s">
        <v>921</v>
      </c>
      <c r="D49" s="50" t="s">
        <v>978</v>
      </c>
      <c r="E49" s="50" t="s">
        <v>955</v>
      </c>
      <c r="F49" s="51">
        <v>2.21</v>
      </c>
      <c r="G49" s="45">
        <v>1</v>
      </c>
      <c r="H49" s="50" t="s">
        <v>1015</v>
      </c>
      <c r="I49" s="45">
        <v>3</v>
      </c>
      <c r="J49" s="52">
        <v>0.85</v>
      </c>
    </row>
    <row x14ac:dyDescent="0.25" r="50" customHeight="1" ht="18">
      <c r="A50" s="50" t="s">
        <v>952</v>
      </c>
      <c r="B50" s="45" t="s">
        <v>1002</v>
      </c>
      <c r="C50" s="52" t="s">
        <v>921</v>
      </c>
      <c r="D50" s="50" t="s">
        <v>979</v>
      </c>
      <c r="E50" s="50" t="s">
        <v>955</v>
      </c>
      <c r="F50" s="51">
        <v>1.86</v>
      </c>
      <c r="G50" s="45">
        <v>1</v>
      </c>
      <c r="H50" s="50" t="s">
        <v>1015</v>
      </c>
      <c r="I50" s="45">
        <v>3</v>
      </c>
      <c r="J50" s="52">
        <v>0.85</v>
      </c>
    </row>
    <row x14ac:dyDescent="0.25" r="51" customHeight="1" ht="18">
      <c r="A51" s="50" t="s">
        <v>952</v>
      </c>
      <c r="B51" s="45" t="s">
        <v>1002</v>
      </c>
      <c r="C51" s="52" t="s">
        <v>921</v>
      </c>
      <c r="D51" s="50" t="s">
        <v>980</v>
      </c>
      <c r="E51" s="50" t="s">
        <v>955</v>
      </c>
      <c r="F51" s="51">
        <v>1.9</v>
      </c>
      <c r="G51" s="45">
        <v>1</v>
      </c>
      <c r="H51" s="50" t="s">
        <v>1015</v>
      </c>
      <c r="I51" s="45">
        <v>3</v>
      </c>
      <c r="J51" s="52">
        <v>0.85</v>
      </c>
    </row>
    <row x14ac:dyDescent="0.25" r="52" customHeight="1" ht="18">
      <c r="A52" s="50" t="s">
        <v>952</v>
      </c>
      <c r="B52" s="45" t="s">
        <v>1002</v>
      </c>
      <c r="C52" s="52" t="s">
        <v>922</v>
      </c>
      <c r="D52" s="50" t="s">
        <v>957</v>
      </c>
      <c r="E52" s="50" t="s">
        <v>955</v>
      </c>
      <c r="F52" s="51">
        <v>22.5</v>
      </c>
      <c r="G52" s="45">
        <v>1</v>
      </c>
      <c r="H52" s="50" t="s">
        <v>1015</v>
      </c>
      <c r="I52" s="45">
        <v>3</v>
      </c>
      <c r="J52" s="52">
        <v>0.85</v>
      </c>
    </row>
    <row x14ac:dyDescent="0.25" r="53" customHeight="1" ht="18">
      <c r="A53" s="50" t="s">
        <v>952</v>
      </c>
      <c r="B53" s="45" t="s">
        <v>1002</v>
      </c>
      <c r="C53" s="52" t="s">
        <v>922</v>
      </c>
      <c r="D53" s="50" t="s">
        <v>957</v>
      </c>
      <c r="E53" s="50" t="s">
        <v>1003</v>
      </c>
      <c r="F53" s="51">
        <v>22.5</v>
      </c>
      <c r="G53" s="45">
        <v>1</v>
      </c>
      <c r="H53" s="50" t="s">
        <v>1015</v>
      </c>
      <c r="I53" s="45">
        <v>3</v>
      </c>
      <c r="J53" s="52">
        <v>0.85</v>
      </c>
    </row>
    <row x14ac:dyDescent="0.25" r="54" customHeight="1" ht="18">
      <c r="A54" s="50" t="s">
        <v>952</v>
      </c>
      <c r="B54" s="45" t="s">
        <v>1002</v>
      </c>
      <c r="C54" s="52" t="s">
        <v>922</v>
      </c>
      <c r="D54" s="50" t="s">
        <v>981</v>
      </c>
      <c r="E54" s="50" t="s">
        <v>955</v>
      </c>
      <c r="F54" s="45">
        <v>19</v>
      </c>
      <c r="G54" s="45">
        <v>1</v>
      </c>
      <c r="H54" s="50" t="s">
        <v>1015</v>
      </c>
      <c r="I54" s="45">
        <v>3</v>
      </c>
      <c r="J54" s="52">
        <v>0.85</v>
      </c>
    </row>
    <row x14ac:dyDescent="0.25" r="55" customHeight="1" ht="18">
      <c r="A55" s="50" t="s">
        <v>952</v>
      </c>
      <c r="B55" s="45" t="s">
        <v>1002</v>
      </c>
      <c r="C55" s="52" t="s">
        <v>922</v>
      </c>
      <c r="D55" s="50" t="s">
        <v>981</v>
      </c>
      <c r="E55" s="50" t="s">
        <v>1003</v>
      </c>
      <c r="F55" s="45">
        <v>19</v>
      </c>
      <c r="G55" s="45">
        <v>1</v>
      </c>
      <c r="H55" s="50" t="s">
        <v>1015</v>
      </c>
      <c r="I55" s="45">
        <v>3</v>
      </c>
      <c r="J55" s="52">
        <v>0.85</v>
      </c>
    </row>
    <row x14ac:dyDescent="0.25" r="56" customHeight="1" ht="18">
      <c r="A56" s="50" t="s">
        <v>952</v>
      </c>
      <c r="B56" s="45" t="s">
        <v>1002</v>
      </c>
      <c r="C56" s="52" t="s">
        <v>922</v>
      </c>
      <c r="D56" s="50" t="s">
        <v>982</v>
      </c>
      <c r="E56" s="50" t="s">
        <v>955</v>
      </c>
      <c r="F56" s="51">
        <v>2.21</v>
      </c>
      <c r="G56" s="45">
        <v>1</v>
      </c>
      <c r="H56" s="50" t="s">
        <v>1015</v>
      </c>
      <c r="I56" s="45">
        <v>3</v>
      </c>
      <c r="J56" s="52">
        <v>0.85</v>
      </c>
    </row>
    <row x14ac:dyDescent="0.25" r="57" customHeight="1" ht="18">
      <c r="A57" s="50" t="s">
        <v>952</v>
      </c>
      <c r="B57" s="45" t="s">
        <v>1002</v>
      </c>
      <c r="C57" s="52" t="s">
        <v>922</v>
      </c>
      <c r="D57" s="50" t="s">
        <v>983</v>
      </c>
      <c r="E57" s="50" t="s">
        <v>955</v>
      </c>
      <c r="F57" s="51">
        <v>1.86</v>
      </c>
      <c r="G57" s="45">
        <v>1</v>
      </c>
      <c r="H57" s="50" t="s">
        <v>1015</v>
      </c>
      <c r="I57" s="45">
        <v>3</v>
      </c>
      <c r="J57" s="52">
        <v>0.85</v>
      </c>
    </row>
    <row x14ac:dyDescent="0.25" r="58" customHeight="1" ht="18">
      <c r="A58" s="50" t="s">
        <v>952</v>
      </c>
      <c r="B58" s="45" t="s">
        <v>1002</v>
      </c>
      <c r="C58" s="52" t="s">
        <v>922</v>
      </c>
      <c r="D58" s="50" t="s">
        <v>984</v>
      </c>
      <c r="E58" s="50" t="s">
        <v>955</v>
      </c>
      <c r="F58" s="51">
        <v>1.9</v>
      </c>
      <c r="G58" s="45">
        <v>1</v>
      </c>
      <c r="H58" s="50" t="s">
        <v>1015</v>
      </c>
      <c r="I58" s="45">
        <v>3</v>
      </c>
      <c r="J58" s="52">
        <v>0.85</v>
      </c>
    </row>
    <row x14ac:dyDescent="0.25" r="59" customHeight="1" ht="18">
      <c r="A59" s="50" t="s">
        <v>952</v>
      </c>
      <c r="B59" s="45" t="s">
        <v>1002</v>
      </c>
      <c r="C59" s="52" t="s">
        <v>922</v>
      </c>
      <c r="D59" s="50" t="s">
        <v>985</v>
      </c>
      <c r="E59" s="50" t="s">
        <v>955</v>
      </c>
      <c r="F59" s="45">
        <v>3</v>
      </c>
      <c r="G59" s="45">
        <v>1</v>
      </c>
      <c r="H59" s="50" t="s">
        <v>1015</v>
      </c>
      <c r="I59" s="45">
        <v>3</v>
      </c>
      <c r="J59" s="52">
        <v>0.85</v>
      </c>
    </row>
    <row x14ac:dyDescent="0.25" r="60" customHeight="1" ht="18">
      <c r="A60" s="50" t="s">
        <v>952</v>
      </c>
      <c r="B60" s="45" t="s">
        <v>1002</v>
      </c>
      <c r="C60" s="52" t="s">
        <v>923</v>
      </c>
      <c r="D60" s="50" t="s">
        <v>958</v>
      </c>
      <c r="E60" s="50" t="s">
        <v>955</v>
      </c>
      <c r="F60" s="51">
        <v>22.5</v>
      </c>
      <c r="G60" s="45">
        <v>1</v>
      </c>
      <c r="H60" s="50" t="s">
        <v>1015</v>
      </c>
      <c r="I60" s="45">
        <v>3</v>
      </c>
      <c r="J60" s="52">
        <v>0.85</v>
      </c>
    </row>
    <row x14ac:dyDescent="0.25" r="61" customHeight="1" ht="18">
      <c r="A61" s="50" t="s">
        <v>952</v>
      </c>
      <c r="B61" s="45" t="s">
        <v>1002</v>
      </c>
      <c r="C61" s="52" t="s">
        <v>923</v>
      </c>
      <c r="D61" s="50" t="s">
        <v>958</v>
      </c>
      <c r="E61" s="50" t="s">
        <v>1003</v>
      </c>
      <c r="F61" s="51">
        <v>22.5</v>
      </c>
      <c r="G61" s="45">
        <v>1</v>
      </c>
      <c r="H61" s="50" t="s">
        <v>1015</v>
      </c>
      <c r="I61" s="45">
        <v>3</v>
      </c>
      <c r="J61" s="52">
        <v>0.85</v>
      </c>
    </row>
    <row x14ac:dyDescent="0.25" r="62" customHeight="1" ht="18">
      <c r="A62" s="50" t="s">
        <v>952</v>
      </c>
      <c r="B62" s="45" t="s">
        <v>1002</v>
      </c>
      <c r="C62" s="52" t="s">
        <v>923</v>
      </c>
      <c r="D62" s="50" t="s">
        <v>986</v>
      </c>
      <c r="E62" s="50" t="s">
        <v>955</v>
      </c>
      <c r="F62" s="45">
        <v>19</v>
      </c>
      <c r="G62" s="45">
        <v>1</v>
      </c>
      <c r="H62" s="50" t="s">
        <v>1015</v>
      </c>
      <c r="I62" s="45">
        <v>3</v>
      </c>
      <c r="J62" s="52">
        <v>0.85</v>
      </c>
    </row>
    <row x14ac:dyDescent="0.25" r="63" customHeight="1" ht="18">
      <c r="A63" s="50" t="s">
        <v>952</v>
      </c>
      <c r="B63" s="45" t="s">
        <v>1002</v>
      </c>
      <c r="C63" s="52" t="s">
        <v>923</v>
      </c>
      <c r="D63" s="50" t="s">
        <v>986</v>
      </c>
      <c r="E63" s="50" t="s">
        <v>1003</v>
      </c>
      <c r="F63" s="45">
        <v>19</v>
      </c>
      <c r="G63" s="45">
        <v>1</v>
      </c>
      <c r="H63" s="50" t="s">
        <v>1015</v>
      </c>
      <c r="I63" s="45">
        <v>3</v>
      </c>
      <c r="J63" s="52">
        <v>0.85</v>
      </c>
    </row>
    <row x14ac:dyDescent="0.25" r="64" customHeight="1" ht="18">
      <c r="A64" s="50" t="s">
        <v>952</v>
      </c>
      <c r="B64" s="45" t="s">
        <v>1002</v>
      </c>
      <c r="C64" s="52" t="s">
        <v>923</v>
      </c>
      <c r="D64" s="50" t="s">
        <v>988</v>
      </c>
      <c r="E64" s="50" t="s">
        <v>955</v>
      </c>
      <c r="F64" s="51">
        <v>2.21</v>
      </c>
      <c r="G64" s="45">
        <v>1</v>
      </c>
      <c r="H64" s="50" t="s">
        <v>1015</v>
      </c>
      <c r="I64" s="45">
        <v>3</v>
      </c>
      <c r="J64" s="52">
        <v>0.85</v>
      </c>
    </row>
    <row x14ac:dyDescent="0.25" r="65" customHeight="1" ht="18">
      <c r="A65" s="50" t="s">
        <v>952</v>
      </c>
      <c r="B65" s="45" t="s">
        <v>1002</v>
      </c>
      <c r="C65" s="52" t="s">
        <v>923</v>
      </c>
      <c r="D65" s="50" t="s">
        <v>989</v>
      </c>
      <c r="E65" s="50" t="s">
        <v>955</v>
      </c>
      <c r="F65" s="51">
        <v>1.86</v>
      </c>
      <c r="G65" s="45">
        <v>1</v>
      </c>
      <c r="H65" s="50" t="s">
        <v>1015</v>
      </c>
      <c r="I65" s="45">
        <v>3</v>
      </c>
      <c r="J65" s="52">
        <v>0.85</v>
      </c>
    </row>
    <row x14ac:dyDescent="0.25" r="66" customHeight="1" ht="18">
      <c r="A66" s="1"/>
      <c r="B66" s="2"/>
      <c r="C66" s="82"/>
      <c r="D66" s="1"/>
      <c r="E66" s="1"/>
      <c r="F66" s="68"/>
      <c r="G66" s="3"/>
      <c r="H66" s="1"/>
      <c r="I66" s="3"/>
      <c r="J66" s="53"/>
    </row>
    <row x14ac:dyDescent="0.25" r="67" customHeight="1" ht="18">
      <c r="A67" s="1"/>
      <c r="B67" s="2"/>
      <c r="C67" s="82"/>
      <c r="D67" s="1"/>
      <c r="E67" s="1"/>
      <c r="F67" s="68"/>
      <c r="G67" s="3"/>
      <c r="H67" s="1"/>
      <c r="I67" s="3"/>
      <c r="J67" s="53"/>
    </row>
    <row x14ac:dyDescent="0.25" r="68" customHeight="1" ht="18">
      <c r="A68" s="1"/>
      <c r="B68" s="2"/>
      <c r="C68" s="82"/>
      <c r="D68" s="1"/>
      <c r="E68" s="1"/>
      <c r="F68" s="68"/>
      <c r="G68" s="3"/>
      <c r="H68" s="1"/>
      <c r="I68" s="3"/>
      <c r="J68" s="53"/>
    </row>
    <row x14ac:dyDescent="0.25" r="69" customHeight="1" ht="18">
      <c r="A69" s="1"/>
      <c r="B69" s="2"/>
      <c r="C69" s="82"/>
      <c r="D69" s="1"/>
      <c r="E69" s="1"/>
      <c r="F69" s="68"/>
      <c r="G69" s="3"/>
      <c r="H69" s="1"/>
      <c r="I69" s="3"/>
      <c r="J69" s="53"/>
    </row>
    <row x14ac:dyDescent="0.25" r="70" customHeight="1" ht="18">
      <c r="A70" s="1"/>
      <c r="B70" s="2"/>
      <c r="C70" s="82"/>
      <c r="D70" s="1"/>
      <c r="E70" s="1"/>
      <c r="F70" s="68"/>
      <c r="G70" s="3"/>
      <c r="H70" s="1"/>
      <c r="I70" s="3"/>
      <c r="J70" s="53"/>
    </row>
    <row x14ac:dyDescent="0.25" r="71" customHeight="1" ht="18">
      <c r="A71" s="1" t="s">
        <v>871</v>
      </c>
      <c r="B71" s="4">
        <v>82800</v>
      </c>
      <c r="C71" s="83">
        <v>0.77</v>
      </c>
      <c r="D71" s="1"/>
      <c r="E71" s="1"/>
      <c r="F71" s="68"/>
      <c r="G71" s="3"/>
      <c r="H71" s="1"/>
      <c r="I71" s="3"/>
      <c r="J71" s="53"/>
    </row>
    <row x14ac:dyDescent="0.25" r="72" customHeight="1" ht="18">
      <c r="A72" s="1" t="s">
        <v>875</v>
      </c>
      <c r="B72" s="4">
        <v>82800</v>
      </c>
      <c r="C72" s="83">
        <v>0.85</v>
      </c>
      <c r="D72" s="1"/>
      <c r="E72" s="1"/>
      <c r="F72" s="68"/>
      <c r="G72" s="3"/>
      <c r="H72" s="1"/>
      <c r="I72" s="3"/>
      <c r="J72" s="53"/>
    </row>
    <row x14ac:dyDescent="0.25" r="73" customHeight="1" ht="18">
      <c r="A73" s="1" t="s">
        <v>877</v>
      </c>
      <c r="B73" s="4">
        <v>82800</v>
      </c>
      <c r="C73" s="83">
        <v>0.85</v>
      </c>
      <c r="D73" s="1"/>
      <c r="E73" s="1"/>
      <c r="F73" s="68"/>
      <c r="G73" s="3"/>
      <c r="H73" s="1"/>
      <c r="I73" s="3"/>
      <c r="J73" s="53"/>
    </row>
    <row x14ac:dyDescent="0.25" r="74" customHeight="1" ht="18">
      <c r="A74" s="1" t="s">
        <v>879</v>
      </c>
      <c r="B74" s="4">
        <v>82800</v>
      </c>
      <c r="C74" s="83">
        <v>0.85</v>
      </c>
      <c r="D74" s="1"/>
      <c r="E74" s="1"/>
      <c r="F74" s="68"/>
      <c r="G74" s="3"/>
      <c r="H74" s="1"/>
      <c r="I74" s="3"/>
      <c r="J74" s="53"/>
    </row>
    <row x14ac:dyDescent="0.25" r="75" customHeight="1" ht="18">
      <c r="A75" s="1" t="s">
        <v>881</v>
      </c>
      <c r="B75" s="4">
        <v>82800</v>
      </c>
      <c r="C75" s="83">
        <v>0.85</v>
      </c>
      <c r="D75" s="1"/>
      <c r="E75" s="1"/>
      <c r="F75" s="68"/>
      <c r="G75" s="3"/>
      <c r="H75" s="1"/>
      <c r="I75" s="3"/>
      <c r="J75" s="53"/>
    </row>
    <row x14ac:dyDescent="0.25" r="76" customHeight="1" ht="18">
      <c r="A76" s="1" t="s">
        <v>882</v>
      </c>
      <c r="B76" s="4">
        <v>82800</v>
      </c>
      <c r="C76" s="83">
        <v>0.85</v>
      </c>
      <c r="D76" s="1"/>
      <c r="E76" s="1"/>
      <c r="F76" s="68"/>
      <c r="G76" s="3"/>
      <c r="H76" s="1"/>
      <c r="I76" s="3"/>
      <c r="J76" s="53"/>
    </row>
    <row x14ac:dyDescent="0.25" r="77" customHeight="1" ht="18">
      <c r="A77" s="1" t="s">
        <v>885</v>
      </c>
      <c r="B77" s="4">
        <v>82800</v>
      </c>
      <c r="C77" s="83">
        <v>0.85</v>
      </c>
      <c r="D77" s="1"/>
      <c r="E77" s="1"/>
      <c r="F77" s="68"/>
      <c r="G77" s="3"/>
      <c r="H77" s="1"/>
      <c r="I77" s="3"/>
      <c r="J77" s="53"/>
    </row>
    <row x14ac:dyDescent="0.25" r="78" customHeight="1" ht="18">
      <c r="A78" s="1" t="s">
        <v>888</v>
      </c>
      <c r="B78" s="4">
        <v>82800</v>
      </c>
      <c r="C78" s="83">
        <v>0.85</v>
      </c>
      <c r="D78" s="1"/>
      <c r="E78" s="1"/>
      <c r="F78" s="68"/>
      <c r="G78" s="3"/>
      <c r="H78" s="1"/>
      <c r="I78" s="3"/>
      <c r="J78" s="53"/>
    </row>
    <row x14ac:dyDescent="0.25" r="79" customHeight="1" ht="18">
      <c r="A79" s="1" t="s">
        <v>893</v>
      </c>
      <c r="B79" s="4">
        <v>82800</v>
      </c>
      <c r="C79" s="83">
        <v>0.85</v>
      </c>
      <c r="D79" s="1"/>
      <c r="E79" s="1"/>
      <c r="F79" s="68"/>
      <c r="G79" s="3"/>
      <c r="H79" s="1"/>
      <c r="I79" s="3"/>
      <c r="J79" s="53"/>
    </row>
    <row x14ac:dyDescent="0.25" r="80" customHeight="1" ht="18">
      <c r="A80" s="1" t="s">
        <v>895</v>
      </c>
      <c r="B80" s="4">
        <v>82800</v>
      </c>
      <c r="C80" s="83">
        <v>0.85</v>
      </c>
      <c r="D80" s="1"/>
      <c r="E80" s="1"/>
      <c r="F80" s="68"/>
      <c r="G80" s="3"/>
      <c r="H80" s="1"/>
      <c r="I80" s="3"/>
      <c r="J80" s="53"/>
    </row>
    <row x14ac:dyDescent="0.25" r="81" customHeight="1" ht="18">
      <c r="A81" s="1" t="s">
        <v>897</v>
      </c>
      <c r="B81" s="4">
        <v>82800</v>
      </c>
      <c r="C81" s="83">
        <v>0.85</v>
      </c>
      <c r="D81" s="1"/>
      <c r="E81" s="1"/>
      <c r="F81" s="68"/>
      <c r="G81" s="3"/>
      <c r="H81" s="1"/>
      <c r="I81" s="3"/>
      <c r="J81" s="53"/>
    </row>
    <row x14ac:dyDescent="0.25" r="82" customHeight="1" ht="18">
      <c r="A82" s="1" t="s">
        <v>1016</v>
      </c>
      <c r="B82" s="4">
        <v>82800</v>
      </c>
      <c r="C82" s="83">
        <v>0.85</v>
      </c>
      <c r="D82" s="1"/>
      <c r="E82" s="1"/>
      <c r="F82" s="68"/>
      <c r="G82" s="3"/>
      <c r="H82" s="1"/>
      <c r="I82" s="3"/>
      <c r="J82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8"/>
  <sheetViews>
    <sheetView workbookViewId="0"/>
  </sheetViews>
  <sheetFormatPr defaultRowHeight="15" x14ac:dyDescent="0.25"/>
  <cols>
    <col min="1" max="1" style="81" width="11.43357142857143" customWidth="1" bestFit="1"/>
    <col min="2" max="2" style="61" width="11.43357142857143" customWidth="1" bestFit="1"/>
    <col min="3" max="3" style="62" width="11.862142857142858" customWidth="1" bestFit="1"/>
    <col min="4" max="4" style="5" width="17.719285714285714" customWidth="1" bestFit="1"/>
    <col min="5" max="5" style="5" width="5.719285714285714" customWidth="1" bestFit="1"/>
    <col min="6" max="6" style="75" width="8.719285714285713" customWidth="1" bestFit="1"/>
    <col min="7" max="7" style="7" width="9.147857142857141" customWidth="1" bestFit="1"/>
    <col min="8" max="8" style="5" width="64.29071428571429" customWidth="1" bestFit="1"/>
    <col min="9" max="9" style="7" width="9.862142857142858" customWidth="1" bestFit="1"/>
    <col min="10" max="10" style="63" width="11.005" customWidth="1" bestFit="1"/>
  </cols>
  <sheetData>
    <row x14ac:dyDescent="0.25" r="1" customHeight="1" ht="39.6" customFormat="1" s="8">
      <c r="A1" s="39" t="s">
        <v>943</v>
      </c>
      <c r="B1" s="40" t="s">
        <v>944</v>
      </c>
      <c r="C1" s="41" t="s">
        <v>898</v>
      </c>
      <c r="D1" s="39" t="s">
        <v>945</v>
      </c>
      <c r="E1" s="39" t="s">
        <v>946</v>
      </c>
      <c r="F1" s="41" t="s">
        <v>947</v>
      </c>
      <c r="G1" s="40" t="s">
        <v>948</v>
      </c>
      <c r="H1" s="39" t="s">
        <v>949</v>
      </c>
      <c r="I1" s="42" t="s">
        <v>950</v>
      </c>
      <c r="J1" s="43" t="s">
        <v>951</v>
      </c>
    </row>
    <row x14ac:dyDescent="0.25" r="2" customHeight="1" ht="18">
      <c r="A2" s="50" t="s">
        <v>962</v>
      </c>
      <c r="B2" s="45" t="s">
        <v>990</v>
      </c>
      <c r="C2" s="51" t="s">
        <v>900</v>
      </c>
      <c r="D2" s="50" t="s">
        <v>968</v>
      </c>
      <c r="E2" s="50" t="s">
        <v>955</v>
      </c>
      <c r="F2" s="51">
        <v>93.09</v>
      </c>
      <c r="G2" s="45">
        <v>1</v>
      </c>
      <c r="H2" s="50" t="s">
        <v>991</v>
      </c>
      <c r="I2" s="45">
        <v>1</v>
      </c>
      <c r="J2" s="52">
        <v>0.85</v>
      </c>
    </row>
    <row x14ac:dyDescent="0.25" r="3" customHeight="1" ht="18">
      <c r="A3" s="50" t="s">
        <v>962</v>
      </c>
      <c r="B3" s="45" t="s">
        <v>990</v>
      </c>
      <c r="C3" s="51" t="s">
        <v>901</v>
      </c>
      <c r="D3" s="50" t="s">
        <v>969</v>
      </c>
      <c r="E3" s="50" t="s">
        <v>955</v>
      </c>
      <c r="F3" s="51">
        <v>56.8</v>
      </c>
      <c r="G3" s="45">
        <v>1</v>
      </c>
      <c r="H3" s="50" t="s">
        <v>991</v>
      </c>
      <c r="I3" s="45">
        <v>1</v>
      </c>
      <c r="J3" s="52">
        <v>0.85</v>
      </c>
    </row>
    <row x14ac:dyDescent="0.25" r="4" customHeight="1" ht="18">
      <c r="A4" s="50" t="s">
        <v>962</v>
      </c>
      <c r="B4" s="45" t="s">
        <v>990</v>
      </c>
      <c r="C4" s="51" t="s">
        <v>902</v>
      </c>
      <c r="D4" s="50" t="s">
        <v>970</v>
      </c>
      <c r="E4" s="50" t="s">
        <v>955</v>
      </c>
      <c r="F4" s="51">
        <v>93.09</v>
      </c>
      <c r="G4" s="45">
        <v>1</v>
      </c>
      <c r="H4" s="50" t="s">
        <v>991</v>
      </c>
      <c r="I4" s="45">
        <v>1</v>
      </c>
      <c r="J4" s="52">
        <v>0.85</v>
      </c>
    </row>
    <row x14ac:dyDescent="0.25" r="5" customHeight="1" ht="18">
      <c r="A5" s="50" t="s">
        <v>962</v>
      </c>
      <c r="B5" s="45" t="s">
        <v>990</v>
      </c>
      <c r="C5" s="51" t="s">
        <v>903</v>
      </c>
      <c r="D5" s="50" t="s">
        <v>971</v>
      </c>
      <c r="E5" s="50" t="s">
        <v>955</v>
      </c>
      <c r="F5" s="51">
        <v>79.41</v>
      </c>
      <c r="G5" s="45">
        <v>1</v>
      </c>
      <c r="H5" s="50" t="s">
        <v>991</v>
      </c>
      <c r="I5" s="45">
        <v>1</v>
      </c>
      <c r="J5" s="52">
        <v>0.85</v>
      </c>
    </row>
    <row x14ac:dyDescent="0.25" r="6" customHeight="1" ht="18">
      <c r="A6" s="50" t="s">
        <v>962</v>
      </c>
      <c r="B6" s="45" t="s">
        <v>990</v>
      </c>
      <c r="C6" s="51" t="s">
        <v>904</v>
      </c>
      <c r="D6" s="50" t="s">
        <v>972</v>
      </c>
      <c r="E6" s="50" t="s">
        <v>955</v>
      </c>
      <c r="F6" s="45">
        <v>80</v>
      </c>
      <c r="G6" s="45">
        <v>1</v>
      </c>
      <c r="H6" s="50" t="s">
        <v>991</v>
      </c>
      <c r="I6" s="45">
        <v>1</v>
      </c>
      <c r="J6" s="52">
        <v>0.85</v>
      </c>
    </row>
    <row x14ac:dyDescent="0.25" r="7" customHeight="1" ht="18">
      <c r="A7" s="50" t="s">
        <v>962</v>
      </c>
      <c r="B7" s="45" t="s">
        <v>990</v>
      </c>
      <c r="C7" s="51" t="s">
        <v>905</v>
      </c>
      <c r="D7" s="50" t="s">
        <v>973</v>
      </c>
      <c r="E7" s="50" t="s">
        <v>955</v>
      </c>
      <c r="F7" s="45">
        <v>87</v>
      </c>
      <c r="G7" s="45">
        <v>1</v>
      </c>
      <c r="H7" s="50" t="s">
        <v>991</v>
      </c>
      <c r="I7" s="45">
        <v>1</v>
      </c>
      <c r="J7" s="52">
        <v>0.85</v>
      </c>
    </row>
    <row x14ac:dyDescent="0.25" r="8" customHeight="1" ht="18">
      <c r="A8" s="50" t="s">
        <v>962</v>
      </c>
      <c r="B8" s="45" t="s">
        <v>990</v>
      </c>
      <c r="C8" s="51" t="s">
        <v>906</v>
      </c>
      <c r="D8" s="50" t="s">
        <v>974</v>
      </c>
      <c r="E8" s="50" t="s">
        <v>955</v>
      </c>
      <c r="F8" s="45">
        <v>71</v>
      </c>
      <c r="G8" s="45">
        <v>1</v>
      </c>
      <c r="H8" s="50" t="s">
        <v>991</v>
      </c>
      <c r="I8" s="45">
        <v>1</v>
      </c>
      <c r="J8" s="52">
        <v>0.85</v>
      </c>
    </row>
    <row x14ac:dyDescent="0.25" r="9" customHeight="1" ht="18">
      <c r="A9" s="50" t="s">
        <v>962</v>
      </c>
      <c r="B9" s="45" t="s">
        <v>990</v>
      </c>
      <c r="C9" s="51" t="s">
        <v>907</v>
      </c>
      <c r="D9" s="50" t="s">
        <v>907</v>
      </c>
      <c r="E9" s="50" t="s">
        <v>955</v>
      </c>
      <c r="F9" s="45">
        <v>71</v>
      </c>
      <c r="G9" s="45">
        <v>1</v>
      </c>
      <c r="H9" s="50" t="s">
        <v>991</v>
      </c>
      <c r="I9" s="45">
        <v>1</v>
      </c>
      <c r="J9" s="52">
        <v>0.85</v>
      </c>
    </row>
    <row x14ac:dyDescent="0.25" r="10" customHeight="1" ht="18">
      <c r="A10" s="50" t="s">
        <v>962</v>
      </c>
      <c r="B10" s="45" t="s">
        <v>990</v>
      </c>
      <c r="C10" s="51" t="s">
        <v>908</v>
      </c>
      <c r="D10" s="50" t="s">
        <v>975</v>
      </c>
      <c r="E10" s="50" t="s">
        <v>955</v>
      </c>
      <c r="F10" s="45">
        <v>71</v>
      </c>
      <c r="G10" s="45">
        <v>1</v>
      </c>
      <c r="H10" s="50" t="s">
        <v>991</v>
      </c>
      <c r="I10" s="45">
        <v>1</v>
      </c>
      <c r="J10" s="52">
        <v>0.85</v>
      </c>
    </row>
    <row x14ac:dyDescent="0.25" r="11" customHeight="1" ht="18">
      <c r="A11" s="50" t="s">
        <v>962</v>
      </c>
      <c r="B11" s="45" t="s">
        <v>990</v>
      </c>
      <c r="C11" s="51" t="s">
        <v>916</v>
      </c>
      <c r="D11" s="50" t="s">
        <v>992</v>
      </c>
      <c r="E11" s="50" t="s">
        <v>955</v>
      </c>
      <c r="F11" s="51">
        <v>34.37</v>
      </c>
      <c r="G11" s="45">
        <v>1</v>
      </c>
      <c r="H11" s="50" t="s">
        <v>784</v>
      </c>
      <c r="I11" s="45">
        <v>1</v>
      </c>
      <c r="J11" s="52">
        <v>0.85</v>
      </c>
    </row>
    <row x14ac:dyDescent="0.25" r="12" customHeight="1" ht="18">
      <c r="A12" s="50" t="s">
        <v>962</v>
      </c>
      <c r="B12" s="45" t="s">
        <v>990</v>
      </c>
      <c r="C12" s="51" t="s">
        <v>917</v>
      </c>
      <c r="D12" s="50" t="s">
        <v>993</v>
      </c>
      <c r="E12" s="50" t="s">
        <v>955</v>
      </c>
      <c r="F12" s="51">
        <v>34.37</v>
      </c>
      <c r="G12" s="45">
        <v>1</v>
      </c>
      <c r="H12" s="50" t="s">
        <v>784</v>
      </c>
      <c r="I12" s="45">
        <v>1</v>
      </c>
      <c r="J12" s="52">
        <v>0.85</v>
      </c>
    </row>
    <row x14ac:dyDescent="0.25" r="13" customHeight="1" ht="18">
      <c r="A13" s="50" t="s">
        <v>962</v>
      </c>
      <c r="B13" s="45" t="s">
        <v>990</v>
      </c>
      <c r="C13" s="51" t="s">
        <v>910</v>
      </c>
      <c r="D13" s="50" t="s">
        <v>964</v>
      </c>
      <c r="E13" s="50" t="s">
        <v>955</v>
      </c>
      <c r="F13" s="51">
        <v>34.45</v>
      </c>
      <c r="G13" s="45">
        <v>1</v>
      </c>
      <c r="H13" s="50" t="s">
        <v>792</v>
      </c>
      <c r="I13" s="45">
        <v>1</v>
      </c>
      <c r="J13" s="52">
        <v>0.85</v>
      </c>
    </row>
    <row x14ac:dyDescent="0.25" r="14" customHeight="1" ht="18">
      <c r="A14" s="50" t="s">
        <v>962</v>
      </c>
      <c r="B14" s="45" t="s">
        <v>990</v>
      </c>
      <c r="C14" s="51" t="s">
        <v>927</v>
      </c>
      <c r="D14" s="50" t="s">
        <v>927</v>
      </c>
      <c r="E14" s="50" t="s">
        <v>955</v>
      </c>
      <c r="F14" s="51">
        <v>71.34</v>
      </c>
      <c r="G14" s="45">
        <v>1</v>
      </c>
      <c r="H14" s="50" t="s">
        <v>792</v>
      </c>
      <c r="I14" s="45">
        <v>1</v>
      </c>
      <c r="J14" s="52">
        <v>0.85</v>
      </c>
    </row>
    <row x14ac:dyDescent="0.25" r="15" customHeight="1" ht="18">
      <c r="A15" s="50" t="s">
        <v>962</v>
      </c>
      <c r="B15" s="45" t="s">
        <v>990</v>
      </c>
      <c r="C15" s="51" t="s">
        <v>919</v>
      </c>
      <c r="D15" s="50" t="s">
        <v>965</v>
      </c>
      <c r="E15" s="50" t="s">
        <v>955</v>
      </c>
      <c r="F15" s="51">
        <v>43.13</v>
      </c>
      <c r="G15" s="45">
        <v>1</v>
      </c>
      <c r="H15" s="50" t="s">
        <v>994</v>
      </c>
      <c r="I15" s="45">
        <v>1</v>
      </c>
      <c r="J15" s="52">
        <v>0.85</v>
      </c>
    </row>
    <row x14ac:dyDescent="0.25" r="16" customHeight="1" ht="18">
      <c r="A16" s="50" t="s">
        <v>962</v>
      </c>
      <c r="B16" s="45" t="s">
        <v>990</v>
      </c>
      <c r="C16" s="51" t="s">
        <v>912</v>
      </c>
      <c r="D16" s="50" t="s">
        <v>912</v>
      </c>
      <c r="E16" s="50" t="s">
        <v>955</v>
      </c>
      <c r="F16" s="51">
        <v>28</v>
      </c>
      <c r="G16" s="45">
        <v>1</v>
      </c>
      <c r="H16" s="50" t="s">
        <v>815</v>
      </c>
      <c r="I16" s="45">
        <v>1</v>
      </c>
      <c r="J16" s="52">
        <v>0.85</v>
      </c>
    </row>
    <row x14ac:dyDescent="0.25" r="17" customHeight="1" ht="18">
      <c r="A17" s="50" t="s">
        <v>962</v>
      </c>
      <c r="B17" s="45" t="s">
        <v>990</v>
      </c>
      <c r="C17" s="51" t="s">
        <v>914</v>
      </c>
      <c r="D17" s="50" t="s">
        <v>914</v>
      </c>
      <c r="E17" s="50" t="s">
        <v>955</v>
      </c>
      <c r="F17" s="51">
        <v>28</v>
      </c>
      <c r="G17" s="45">
        <v>1</v>
      </c>
      <c r="H17" s="50" t="s">
        <v>815</v>
      </c>
      <c r="I17" s="45">
        <v>1</v>
      </c>
      <c r="J17" s="52">
        <v>0.85</v>
      </c>
    </row>
    <row x14ac:dyDescent="0.25" r="18" customHeight="1" ht="18">
      <c r="A18" s="50" t="s">
        <v>962</v>
      </c>
      <c r="B18" s="45" t="s">
        <v>990</v>
      </c>
      <c r="C18" s="51" t="s">
        <v>913</v>
      </c>
      <c r="D18" s="50" t="s">
        <v>913</v>
      </c>
      <c r="E18" s="50" t="s">
        <v>955</v>
      </c>
      <c r="F18" s="51">
        <v>28</v>
      </c>
      <c r="G18" s="45">
        <v>1</v>
      </c>
      <c r="H18" s="50" t="s">
        <v>815</v>
      </c>
      <c r="I18" s="45">
        <v>1</v>
      </c>
      <c r="J18" s="52">
        <v>0.85</v>
      </c>
    </row>
    <row x14ac:dyDescent="0.25" r="19" customHeight="1" ht="18">
      <c r="A19" s="50" t="s">
        <v>962</v>
      </c>
      <c r="B19" s="45" t="s">
        <v>990</v>
      </c>
      <c r="C19" s="51" t="s">
        <v>911</v>
      </c>
      <c r="D19" s="50" t="s">
        <v>911</v>
      </c>
      <c r="E19" s="50" t="s">
        <v>955</v>
      </c>
      <c r="F19" s="51">
        <v>28</v>
      </c>
      <c r="G19" s="45">
        <v>1</v>
      </c>
      <c r="H19" s="50" t="s">
        <v>815</v>
      </c>
      <c r="I19" s="45">
        <v>1</v>
      </c>
      <c r="J19" s="52">
        <v>0.85</v>
      </c>
    </row>
    <row x14ac:dyDescent="0.25" r="20" customHeight="1" ht="18">
      <c r="A20" s="50" t="s">
        <v>952</v>
      </c>
      <c r="B20" s="45" t="s">
        <v>990</v>
      </c>
      <c r="C20" s="51" t="s">
        <v>921</v>
      </c>
      <c r="D20" s="50" t="s">
        <v>995</v>
      </c>
      <c r="E20" s="50" t="s">
        <v>955</v>
      </c>
      <c r="F20" s="51">
        <v>56.9</v>
      </c>
      <c r="G20" s="45">
        <v>1</v>
      </c>
      <c r="H20" s="50" t="s">
        <v>996</v>
      </c>
      <c r="I20" s="45">
        <v>1</v>
      </c>
      <c r="J20" s="52">
        <v>0.85</v>
      </c>
    </row>
    <row x14ac:dyDescent="0.25" r="21" customHeight="1" ht="18">
      <c r="A21" s="50" t="s">
        <v>952</v>
      </c>
      <c r="B21" s="45" t="s">
        <v>990</v>
      </c>
      <c r="C21" s="51" t="s">
        <v>921</v>
      </c>
      <c r="D21" s="50" t="s">
        <v>977</v>
      </c>
      <c r="E21" s="50" t="s">
        <v>955</v>
      </c>
      <c r="F21" s="51">
        <v>30.9</v>
      </c>
      <c r="G21" s="45">
        <v>1</v>
      </c>
      <c r="H21" s="50" t="s">
        <v>996</v>
      </c>
      <c r="I21" s="45">
        <v>1</v>
      </c>
      <c r="J21" s="52">
        <v>0.85</v>
      </c>
    </row>
    <row x14ac:dyDescent="0.25" r="22" customHeight="1" ht="18">
      <c r="A22" s="71" t="s">
        <v>952</v>
      </c>
      <c r="B22" s="45" t="s">
        <v>990</v>
      </c>
      <c r="C22" s="51" t="s">
        <v>922</v>
      </c>
      <c r="D22" s="50" t="s">
        <v>997</v>
      </c>
      <c r="E22" s="71" t="s">
        <v>955</v>
      </c>
      <c r="F22" s="51">
        <v>56.9</v>
      </c>
      <c r="G22" s="72">
        <v>1</v>
      </c>
      <c r="H22" s="50" t="s">
        <v>996</v>
      </c>
      <c r="I22" s="45">
        <v>1</v>
      </c>
      <c r="J22" s="52">
        <v>0.85</v>
      </c>
    </row>
    <row x14ac:dyDescent="0.25" r="23" customHeight="1" ht="18">
      <c r="A23" s="71" t="s">
        <v>952</v>
      </c>
      <c r="B23" s="45" t="s">
        <v>990</v>
      </c>
      <c r="C23" s="51" t="s">
        <v>922</v>
      </c>
      <c r="D23" s="50" t="s">
        <v>981</v>
      </c>
      <c r="E23" s="71" t="s">
        <v>955</v>
      </c>
      <c r="F23" s="51">
        <v>30.9</v>
      </c>
      <c r="G23" s="72">
        <v>1</v>
      </c>
      <c r="H23" s="50" t="s">
        <v>996</v>
      </c>
      <c r="I23" s="45">
        <v>1</v>
      </c>
      <c r="J23" s="52">
        <v>0.85</v>
      </c>
    </row>
    <row x14ac:dyDescent="0.25" r="24" customHeight="1" ht="18">
      <c r="A24" s="71" t="s">
        <v>952</v>
      </c>
      <c r="B24" s="45" t="s">
        <v>990</v>
      </c>
      <c r="C24" s="51" t="s">
        <v>923</v>
      </c>
      <c r="D24" s="50" t="s">
        <v>958</v>
      </c>
      <c r="E24" s="71" t="s">
        <v>955</v>
      </c>
      <c r="F24" s="51">
        <v>56.9</v>
      </c>
      <c r="G24" s="72">
        <v>1</v>
      </c>
      <c r="H24" s="50" t="s">
        <v>996</v>
      </c>
      <c r="I24" s="45">
        <v>1</v>
      </c>
      <c r="J24" s="52">
        <v>0.85</v>
      </c>
    </row>
    <row x14ac:dyDescent="0.25" r="25" customHeight="1" ht="18">
      <c r="A25" s="71" t="s">
        <v>952</v>
      </c>
      <c r="B25" s="45" t="s">
        <v>990</v>
      </c>
      <c r="C25" s="51" t="s">
        <v>923</v>
      </c>
      <c r="D25" s="50" t="s">
        <v>986</v>
      </c>
      <c r="E25" s="71" t="s">
        <v>955</v>
      </c>
      <c r="F25" s="51">
        <v>30.9</v>
      </c>
      <c r="G25" s="72">
        <v>1</v>
      </c>
      <c r="H25" s="50" t="s">
        <v>996</v>
      </c>
      <c r="I25" s="45">
        <v>1</v>
      </c>
      <c r="J25" s="52">
        <v>0.85</v>
      </c>
    </row>
    <row x14ac:dyDescent="0.25" r="26" customHeight="1" ht="18">
      <c r="A26" s="76"/>
      <c r="B26" s="77"/>
      <c r="C26" s="78"/>
      <c r="D26" s="1"/>
      <c r="E26" s="1"/>
      <c r="F26" s="68"/>
      <c r="G26" s="3"/>
      <c r="H26" s="1"/>
      <c r="I26" s="3"/>
      <c r="J26" s="53"/>
    </row>
    <row x14ac:dyDescent="0.25" r="27" customHeight="1" ht="18">
      <c r="A27" s="76"/>
      <c r="B27" s="77"/>
      <c r="C27" s="78"/>
      <c r="D27" s="1"/>
      <c r="E27" s="1"/>
      <c r="F27" s="68"/>
      <c r="G27" s="3"/>
      <c r="H27" s="1"/>
      <c r="I27" s="3"/>
      <c r="J27" s="53"/>
    </row>
    <row x14ac:dyDescent="0.25" r="28" customHeight="1" ht="18">
      <c r="A28" s="76"/>
      <c r="B28" s="77"/>
      <c r="C28" s="78"/>
      <c r="D28" s="1"/>
      <c r="E28" s="1"/>
      <c r="F28" s="68"/>
      <c r="G28" s="3"/>
      <c r="H28" s="1"/>
      <c r="I28" s="3"/>
      <c r="J28" s="53"/>
    </row>
    <row x14ac:dyDescent="0.25" r="29" customHeight="1" ht="18">
      <c r="A29" s="76" t="s">
        <v>769</v>
      </c>
      <c r="B29" s="26">
        <v>76212</v>
      </c>
      <c r="C29" s="79">
        <v>0.85</v>
      </c>
      <c r="D29" s="1"/>
      <c r="E29" s="1"/>
      <c r="F29" s="68"/>
      <c r="G29" s="3"/>
      <c r="H29" s="1"/>
      <c r="I29" s="3"/>
      <c r="J29" s="53"/>
    </row>
    <row x14ac:dyDescent="0.25" r="30" customHeight="1" ht="18">
      <c r="A30" s="76" t="s">
        <v>781</v>
      </c>
      <c r="B30" s="26">
        <v>76212</v>
      </c>
      <c r="C30" s="79">
        <v>0.85</v>
      </c>
      <c r="D30" s="1"/>
      <c r="E30" s="1"/>
      <c r="F30" s="68"/>
      <c r="G30" s="3"/>
      <c r="H30" s="1"/>
      <c r="I30" s="3"/>
      <c r="J30" s="53"/>
    </row>
    <row x14ac:dyDescent="0.25" r="31" customHeight="1" ht="18">
      <c r="A31" s="76" t="s">
        <v>784</v>
      </c>
      <c r="B31" s="26">
        <v>76212</v>
      </c>
      <c r="C31" s="79">
        <v>0.85</v>
      </c>
      <c r="D31" s="1"/>
      <c r="E31" s="1"/>
      <c r="F31" s="68"/>
      <c r="G31" s="3"/>
      <c r="H31" s="1"/>
      <c r="I31" s="3"/>
      <c r="J31" s="53"/>
    </row>
    <row x14ac:dyDescent="0.25" r="32" customHeight="1" ht="18">
      <c r="A32" s="76" t="s">
        <v>792</v>
      </c>
      <c r="B32" s="26">
        <v>76212</v>
      </c>
      <c r="C32" s="79">
        <v>0.85</v>
      </c>
      <c r="D32" s="1"/>
      <c r="E32" s="1"/>
      <c r="F32" s="68"/>
      <c r="G32" s="3"/>
      <c r="H32" s="1"/>
      <c r="I32" s="3"/>
      <c r="J32" s="53"/>
    </row>
    <row x14ac:dyDescent="0.25" r="33" customHeight="1" ht="18">
      <c r="A33" s="76" t="s">
        <v>802</v>
      </c>
      <c r="B33" s="26">
        <v>76212</v>
      </c>
      <c r="C33" s="79">
        <v>0.85</v>
      </c>
      <c r="D33" s="1"/>
      <c r="E33" s="1"/>
      <c r="F33" s="68"/>
      <c r="G33" s="3"/>
      <c r="H33" s="1"/>
      <c r="I33" s="3"/>
      <c r="J33" s="53"/>
    </row>
    <row x14ac:dyDescent="0.25" r="34" customHeight="1" ht="18">
      <c r="A34" s="76" t="s">
        <v>809</v>
      </c>
      <c r="B34" s="26">
        <v>76212</v>
      </c>
      <c r="C34" s="79">
        <v>0.85</v>
      </c>
      <c r="D34" s="1"/>
      <c r="E34" s="1"/>
      <c r="F34" s="68"/>
      <c r="G34" s="3"/>
      <c r="H34" s="1"/>
      <c r="I34" s="3"/>
      <c r="J34" s="53"/>
    </row>
    <row x14ac:dyDescent="0.25" r="35" customHeight="1" ht="18">
      <c r="A35" s="76" t="s">
        <v>812</v>
      </c>
      <c r="B35" s="26">
        <v>76212</v>
      </c>
      <c r="C35" s="79">
        <v>0.85</v>
      </c>
      <c r="D35" s="1"/>
      <c r="E35" s="1"/>
      <c r="F35" s="68"/>
      <c r="G35" s="3"/>
      <c r="H35" s="1"/>
      <c r="I35" s="3"/>
      <c r="J35" s="53"/>
    </row>
    <row x14ac:dyDescent="0.25" r="36" customHeight="1" ht="18">
      <c r="A36" s="76" t="s">
        <v>815</v>
      </c>
      <c r="B36" s="26">
        <v>76212</v>
      </c>
      <c r="C36" s="79">
        <v>0.85</v>
      </c>
      <c r="D36" s="1"/>
      <c r="E36" s="1"/>
      <c r="F36" s="68"/>
      <c r="G36" s="3"/>
      <c r="H36" s="1"/>
      <c r="I36" s="3"/>
      <c r="J36" s="53"/>
    </row>
    <row x14ac:dyDescent="0.25" r="37" customHeight="1" ht="18">
      <c r="A37" s="76" t="s">
        <v>825</v>
      </c>
      <c r="B37" s="26">
        <v>76212</v>
      </c>
      <c r="C37" s="79">
        <v>0.85</v>
      </c>
      <c r="D37" s="1"/>
      <c r="E37" s="1"/>
      <c r="F37" s="68"/>
      <c r="G37" s="3"/>
      <c r="H37" s="1"/>
      <c r="I37" s="3"/>
      <c r="J37" s="53"/>
    </row>
    <row x14ac:dyDescent="0.25" r="38" customHeight="1" ht="18">
      <c r="A38" s="80" t="s">
        <v>829</v>
      </c>
      <c r="B38" s="26">
        <v>76212</v>
      </c>
      <c r="C38" s="79">
        <v>0.85</v>
      </c>
      <c r="D38" s="1"/>
      <c r="E38" s="1"/>
      <c r="F38" s="68"/>
      <c r="G38" s="3"/>
      <c r="H38" s="1"/>
      <c r="I38" s="3"/>
      <c r="J38" s="53"/>
    </row>
    <row x14ac:dyDescent="0.25" r="39" customHeight="1" ht="18">
      <c r="A39" s="80" t="s">
        <v>835</v>
      </c>
      <c r="B39" s="26">
        <v>76212</v>
      </c>
      <c r="C39" s="79">
        <v>0.85</v>
      </c>
      <c r="D39" s="1"/>
      <c r="E39" s="1"/>
      <c r="F39" s="68"/>
      <c r="G39" s="3"/>
      <c r="H39" s="1"/>
      <c r="I39" s="3"/>
      <c r="J39" s="53"/>
    </row>
    <row x14ac:dyDescent="0.25" r="40" customHeight="1" ht="18">
      <c r="A40" s="80" t="s">
        <v>838</v>
      </c>
      <c r="B40" s="26">
        <v>76212</v>
      </c>
      <c r="C40" s="79">
        <v>0.85</v>
      </c>
      <c r="D40" s="1"/>
      <c r="E40" s="1"/>
      <c r="F40" s="68"/>
      <c r="G40" s="3"/>
      <c r="H40" s="1"/>
      <c r="I40" s="3"/>
      <c r="J40" s="53"/>
    </row>
    <row x14ac:dyDescent="0.25" r="41" customHeight="1" ht="18">
      <c r="A41" s="80" t="s">
        <v>841</v>
      </c>
      <c r="B41" s="26">
        <v>76212</v>
      </c>
      <c r="C41" s="79">
        <v>0.85</v>
      </c>
      <c r="D41" s="1"/>
      <c r="E41" s="1"/>
      <c r="F41" s="68"/>
      <c r="G41" s="3"/>
      <c r="H41" s="1"/>
      <c r="I41" s="3"/>
      <c r="J41" s="53"/>
    </row>
    <row x14ac:dyDescent="0.25" r="42" customHeight="1" ht="18">
      <c r="A42" s="80" t="s">
        <v>845</v>
      </c>
      <c r="B42" s="26">
        <v>76212</v>
      </c>
      <c r="C42" s="79">
        <v>0.85</v>
      </c>
      <c r="D42" s="1"/>
      <c r="E42" s="1"/>
      <c r="F42" s="68"/>
      <c r="G42" s="3"/>
      <c r="H42" s="1"/>
      <c r="I42" s="3"/>
      <c r="J42" s="53"/>
    </row>
    <row x14ac:dyDescent="0.25" r="43" customHeight="1" ht="18">
      <c r="A43" s="80" t="s">
        <v>849</v>
      </c>
      <c r="B43" s="26">
        <v>76212</v>
      </c>
      <c r="C43" s="79">
        <v>0.85</v>
      </c>
      <c r="D43" s="1"/>
      <c r="E43" s="1"/>
      <c r="F43" s="68"/>
      <c r="G43" s="3"/>
      <c r="H43" s="1"/>
      <c r="I43" s="3"/>
      <c r="J43" s="53"/>
    </row>
    <row x14ac:dyDescent="0.25" r="44" customHeight="1" ht="18">
      <c r="A44" s="76" t="s">
        <v>850</v>
      </c>
      <c r="B44" s="26">
        <v>76212</v>
      </c>
      <c r="C44" s="79">
        <v>0.85</v>
      </c>
      <c r="D44" s="1"/>
      <c r="E44" s="1"/>
      <c r="F44" s="68"/>
      <c r="G44" s="3"/>
      <c r="H44" s="1"/>
      <c r="I44" s="3"/>
      <c r="J44" s="53"/>
    </row>
    <row x14ac:dyDescent="0.25" r="45" customHeight="1" ht="18">
      <c r="A45" s="80" t="s">
        <v>998</v>
      </c>
      <c r="B45" s="26">
        <v>76212</v>
      </c>
      <c r="C45" s="79">
        <v>0.85</v>
      </c>
      <c r="D45" s="1"/>
      <c r="E45" s="1"/>
      <c r="F45" s="68"/>
      <c r="G45" s="3"/>
      <c r="H45" s="1"/>
      <c r="I45" s="3"/>
      <c r="J45" s="53"/>
    </row>
    <row x14ac:dyDescent="0.25" r="46" customHeight="1" ht="18">
      <c r="A46" s="80" t="s">
        <v>999</v>
      </c>
      <c r="B46" s="26">
        <v>76212</v>
      </c>
      <c r="C46" s="79">
        <v>0.85</v>
      </c>
      <c r="D46" s="1"/>
      <c r="E46" s="1"/>
      <c r="F46" s="68"/>
      <c r="G46" s="3"/>
      <c r="H46" s="1"/>
      <c r="I46" s="3"/>
      <c r="J46" s="53"/>
    </row>
    <row x14ac:dyDescent="0.25" r="47" customHeight="1" ht="18">
      <c r="A47" s="80" t="s">
        <v>1000</v>
      </c>
      <c r="B47" s="26">
        <v>76212</v>
      </c>
      <c r="C47" s="79">
        <v>0.85</v>
      </c>
      <c r="D47" s="1"/>
      <c r="E47" s="1"/>
      <c r="F47" s="68"/>
      <c r="G47" s="3"/>
      <c r="H47" s="1"/>
      <c r="I47" s="3"/>
      <c r="J47" s="53"/>
    </row>
    <row x14ac:dyDescent="0.25" r="48" customHeight="1" ht="18">
      <c r="A48" s="80" t="s">
        <v>1001</v>
      </c>
      <c r="B48" s="26">
        <v>76212</v>
      </c>
      <c r="C48" s="79">
        <v>0.85</v>
      </c>
      <c r="D48" s="1"/>
      <c r="E48" s="1"/>
      <c r="F48" s="68"/>
      <c r="G48" s="3"/>
      <c r="H48" s="1"/>
      <c r="I48" s="3"/>
      <c r="J48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11.290714285714287" customWidth="1" bestFit="1"/>
    <col min="2" max="2" style="6" width="13.862142857142858" customWidth="1" bestFit="1"/>
    <col min="3" max="3" style="74" width="25.862142857142857" customWidth="1" bestFit="1"/>
    <col min="4" max="4" style="5" width="11.290714285714287" customWidth="1" bestFit="1"/>
    <col min="5" max="5" style="5" width="11.290714285714287" customWidth="1" bestFit="1"/>
    <col min="6" max="6" style="75" width="15.290714285714287" customWidth="1" bestFit="1"/>
    <col min="7" max="7" style="7" width="52.005" customWidth="1" bestFit="1"/>
    <col min="8" max="8" style="5" width="11.862142857142858" customWidth="1" bestFit="1"/>
    <col min="9" max="9" style="7" width="11.290714285714287" customWidth="1" bestFit="1"/>
    <col min="10" max="10" style="63" width="13.005" customWidth="1" bestFit="1"/>
  </cols>
  <sheetData>
    <row x14ac:dyDescent="0.25" r="1" customHeight="1" ht="26.399999999999995" customFormat="1" s="8">
      <c r="A1" s="39" t="s">
        <v>943</v>
      </c>
      <c r="B1" s="40" t="s">
        <v>944</v>
      </c>
      <c r="C1" s="41" t="s">
        <v>898</v>
      </c>
      <c r="D1" s="39" t="s">
        <v>945</v>
      </c>
      <c r="E1" s="39" t="s">
        <v>946</v>
      </c>
      <c r="F1" s="41" t="s">
        <v>947</v>
      </c>
      <c r="G1" s="40" t="s">
        <v>948</v>
      </c>
      <c r="H1" s="39" t="s">
        <v>949</v>
      </c>
      <c r="I1" s="42" t="s">
        <v>950</v>
      </c>
      <c r="J1" s="43" t="s">
        <v>951</v>
      </c>
    </row>
    <row x14ac:dyDescent="0.25" r="2" customHeight="1" ht="18">
      <c r="A2" s="50" t="s">
        <v>962</v>
      </c>
      <c r="B2" s="45" t="s">
        <v>967</v>
      </c>
      <c r="C2" s="51" t="s">
        <v>900</v>
      </c>
      <c r="D2" s="50" t="s">
        <v>968</v>
      </c>
      <c r="E2" s="50" t="s">
        <v>955</v>
      </c>
      <c r="F2" s="64">
        <v>75.9</v>
      </c>
      <c r="G2" s="45">
        <v>1</v>
      </c>
      <c r="H2" s="50" t="s">
        <v>707</v>
      </c>
      <c r="I2" s="45">
        <v>1</v>
      </c>
      <c r="J2" s="52">
        <v>0.85</v>
      </c>
    </row>
    <row x14ac:dyDescent="0.25" r="3" customHeight="1" ht="18">
      <c r="A3" s="50" t="s">
        <v>962</v>
      </c>
      <c r="B3" s="45" t="s">
        <v>967</v>
      </c>
      <c r="C3" s="51" t="s">
        <v>901</v>
      </c>
      <c r="D3" s="50" t="s">
        <v>969</v>
      </c>
      <c r="E3" s="50" t="s">
        <v>955</v>
      </c>
      <c r="F3" s="65">
        <v>74</v>
      </c>
      <c r="G3" s="45">
        <v>1</v>
      </c>
      <c r="H3" s="50" t="s">
        <v>707</v>
      </c>
      <c r="I3" s="45">
        <v>1</v>
      </c>
      <c r="J3" s="52">
        <v>0.85</v>
      </c>
    </row>
    <row x14ac:dyDescent="0.25" r="4" customHeight="1" ht="18">
      <c r="A4" s="50" t="s">
        <v>962</v>
      </c>
      <c r="B4" s="45" t="s">
        <v>967</v>
      </c>
      <c r="C4" s="51" t="s">
        <v>902</v>
      </c>
      <c r="D4" s="50" t="s">
        <v>970</v>
      </c>
      <c r="E4" s="50" t="s">
        <v>955</v>
      </c>
      <c r="F4" s="65">
        <v>74</v>
      </c>
      <c r="G4" s="45">
        <v>1</v>
      </c>
      <c r="H4" s="50" t="s">
        <v>707</v>
      </c>
      <c r="I4" s="45">
        <v>1</v>
      </c>
      <c r="J4" s="52">
        <v>0.85</v>
      </c>
    </row>
    <row x14ac:dyDescent="0.25" r="5" customHeight="1" ht="18">
      <c r="A5" s="50" t="s">
        <v>962</v>
      </c>
      <c r="B5" s="45" t="s">
        <v>967</v>
      </c>
      <c r="C5" s="51" t="s">
        <v>903</v>
      </c>
      <c r="D5" s="50" t="s">
        <v>971</v>
      </c>
      <c r="E5" s="50" t="s">
        <v>955</v>
      </c>
      <c r="F5" s="64">
        <v>76.3</v>
      </c>
      <c r="G5" s="45">
        <v>1</v>
      </c>
      <c r="H5" s="50" t="s">
        <v>707</v>
      </c>
      <c r="I5" s="45">
        <v>1</v>
      </c>
      <c r="J5" s="52">
        <v>0.85</v>
      </c>
    </row>
    <row x14ac:dyDescent="0.25" r="6" customHeight="1" ht="18">
      <c r="A6" s="50" t="s">
        <v>962</v>
      </c>
      <c r="B6" s="45" t="s">
        <v>967</v>
      </c>
      <c r="C6" s="51" t="s">
        <v>904</v>
      </c>
      <c r="D6" s="50" t="s">
        <v>972</v>
      </c>
      <c r="E6" s="50" t="s">
        <v>955</v>
      </c>
      <c r="F6" s="64">
        <v>75.9</v>
      </c>
      <c r="G6" s="45">
        <v>1</v>
      </c>
      <c r="H6" s="50" t="s">
        <v>707</v>
      </c>
      <c r="I6" s="45">
        <v>1</v>
      </c>
      <c r="J6" s="52">
        <v>0.85</v>
      </c>
    </row>
    <row x14ac:dyDescent="0.25" r="7" customHeight="1" ht="18">
      <c r="A7" s="50" t="s">
        <v>962</v>
      </c>
      <c r="B7" s="45" t="s">
        <v>967</v>
      </c>
      <c r="C7" s="51" t="s">
        <v>905</v>
      </c>
      <c r="D7" s="50" t="s">
        <v>973</v>
      </c>
      <c r="E7" s="50" t="s">
        <v>955</v>
      </c>
      <c r="F7" s="65">
        <v>87</v>
      </c>
      <c r="G7" s="45">
        <v>1</v>
      </c>
      <c r="H7" s="50" t="s">
        <v>707</v>
      </c>
      <c r="I7" s="45">
        <v>1</v>
      </c>
      <c r="J7" s="52">
        <v>0.85</v>
      </c>
    </row>
    <row x14ac:dyDescent="0.25" r="8" customHeight="1" ht="18">
      <c r="A8" s="50" t="s">
        <v>962</v>
      </c>
      <c r="B8" s="45" t="s">
        <v>967</v>
      </c>
      <c r="C8" s="51" t="s">
        <v>906</v>
      </c>
      <c r="D8" s="50" t="s">
        <v>974</v>
      </c>
      <c r="E8" s="50" t="s">
        <v>955</v>
      </c>
      <c r="F8" s="65">
        <v>36</v>
      </c>
      <c r="G8" s="45">
        <v>1</v>
      </c>
      <c r="H8" s="50" t="s">
        <v>707</v>
      </c>
      <c r="I8" s="45">
        <v>1</v>
      </c>
      <c r="J8" s="52">
        <v>0.85</v>
      </c>
    </row>
    <row x14ac:dyDescent="0.25" r="9" customHeight="1" ht="18">
      <c r="A9" s="50" t="s">
        <v>962</v>
      </c>
      <c r="B9" s="45" t="s">
        <v>967</v>
      </c>
      <c r="C9" s="51" t="s">
        <v>907</v>
      </c>
      <c r="D9" s="50" t="s">
        <v>907</v>
      </c>
      <c r="E9" s="50" t="s">
        <v>955</v>
      </c>
      <c r="F9" s="64">
        <v>75.9</v>
      </c>
      <c r="G9" s="45">
        <v>1</v>
      </c>
      <c r="H9" s="50" t="s">
        <v>707</v>
      </c>
      <c r="I9" s="45">
        <v>1</v>
      </c>
      <c r="J9" s="52">
        <v>0.85</v>
      </c>
    </row>
    <row x14ac:dyDescent="0.25" r="10" customHeight="1" ht="18">
      <c r="A10" s="50" t="s">
        <v>962</v>
      </c>
      <c r="B10" s="45" t="s">
        <v>967</v>
      </c>
      <c r="C10" s="51" t="s">
        <v>908</v>
      </c>
      <c r="D10" s="50" t="s">
        <v>975</v>
      </c>
      <c r="E10" s="50" t="s">
        <v>955</v>
      </c>
      <c r="F10" s="64">
        <v>75.9</v>
      </c>
      <c r="G10" s="45">
        <v>1</v>
      </c>
      <c r="H10" s="50" t="s">
        <v>707</v>
      </c>
      <c r="I10" s="45">
        <v>1</v>
      </c>
      <c r="J10" s="52">
        <v>0.85</v>
      </c>
    </row>
    <row x14ac:dyDescent="0.25" r="11" customHeight="1" ht="18">
      <c r="A11" s="50" t="s">
        <v>962</v>
      </c>
      <c r="B11" s="45" t="s">
        <v>967</v>
      </c>
      <c r="C11" s="51" t="s">
        <v>910</v>
      </c>
      <c r="D11" s="50" t="s">
        <v>964</v>
      </c>
      <c r="E11" s="50" t="s">
        <v>955</v>
      </c>
      <c r="F11" s="64">
        <v>15.69</v>
      </c>
      <c r="G11" s="45">
        <v>1</v>
      </c>
      <c r="H11" s="50" t="s">
        <v>710</v>
      </c>
      <c r="I11" s="45">
        <v>1</v>
      </c>
      <c r="J11" s="52">
        <v>0.85</v>
      </c>
    </row>
    <row x14ac:dyDescent="0.25" r="12" customHeight="1" ht="18">
      <c r="A12" s="50" t="s">
        <v>962</v>
      </c>
      <c r="B12" s="45" t="s">
        <v>967</v>
      </c>
      <c r="C12" s="51" t="s">
        <v>927</v>
      </c>
      <c r="D12" s="50" t="s">
        <v>927</v>
      </c>
      <c r="E12" s="50" t="s">
        <v>955</v>
      </c>
      <c r="F12" s="64">
        <v>15.4</v>
      </c>
      <c r="G12" s="45">
        <v>1</v>
      </c>
      <c r="H12" s="50" t="s">
        <v>710</v>
      </c>
      <c r="I12" s="45">
        <v>1</v>
      </c>
      <c r="J12" s="52">
        <v>0.85</v>
      </c>
    </row>
    <row x14ac:dyDescent="0.25" r="13" customHeight="1" ht="18">
      <c r="A13" s="50" t="s">
        <v>962</v>
      </c>
      <c r="B13" s="45" t="s">
        <v>967</v>
      </c>
      <c r="C13" s="51" t="s">
        <v>919</v>
      </c>
      <c r="D13" s="50" t="s">
        <v>965</v>
      </c>
      <c r="E13" s="50" t="s">
        <v>955</v>
      </c>
      <c r="F13" s="64">
        <v>13.5</v>
      </c>
      <c r="G13" s="45">
        <v>1</v>
      </c>
      <c r="H13" s="50" t="s">
        <v>710</v>
      </c>
      <c r="I13" s="45">
        <v>1</v>
      </c>
      <c r="J13" s="52">
        <v>0.85</v>
      </c>
    </row>
    <row x14ac:dyDescent="0.25" r="14" customHeight="1" ht="18">
      <c r="A14" s="50" t="s">
        <v>962</v>
      </c>
      <c r="B14" s="45" t="s">
        <v>967</v>
      </c>
      <c r="C14" s="51" t="s">
        <v>912</v>
      </c>
      <c r="D14" s="50" t="s">
        <v>912</v>
      </c>
      <c r="E14" s="50" t="s">
        <v>955</v>
      </c>
      <c r="F14" s="64">
        <v>9.76</v>
      </c>
      <c r="G14" s="45">
        <v>1</v>
      </c>
      <c r="H14" s="50" t="s">
        <v>710</v>
      </c>
      <c r="I14" s="45">
        <v>1</v>
      </c>
      <c r="J14" s="52">
        <v>0.85</v>
      </c>
    </row>
    <row x14ac:dyDescent="0.25" r="15" customHeight="1" ht="18">
      <c r="A15" s="50" t="s">
        <v>962</v>
      </c>
      <c r="B15" s="45" t="s">
        <v>967</v>
      </c>
      <c r="C15" s="51" t="s">
        <v>914</v>
      </c>
      <c r="D15" s="50" t="s">
        <v>914</v>
      </c>
      <c r="E15" s="50" t="s">
        <v>955</v>
      </c>
      <c r="F15" s="64">
        <v>9.76</v>
      </c>
      <c r="G15" s="45">
        <v>1</v>
      </c>
      <c r="H15" s="50" t="s">
        <v>710</v>
      </c>
      <c r="I15" s="45">
        <v>1</v>
      </c>
      <c r="J15" s="52">
        <v>0.85</v>
      </c>
    </row>
    <row x14ac:dyDescent="0.25" r="16" customHeight="1" ht="18">
      <c r="A16" s="50" t="s">
        <v>962</v>
      </c>
      <c r="B16" s="45" t="s">
        <v>967</v>
      </c>
      <c r="C16" s="51" t="s">
        <v>913</v>
      </c>
      <c r="D16" s="50" t="s">
        <v>913</v>
      </c>
      <c r="E16" s="50" t="s">
        <v>955</v>
      </c>
      <c r="F16" s="64">
        <v>9.76</v>
      </c>
      <c r="G16" s="45">
        <v>1</v>
      </c>
      <c r="H16" s="50" t="s">
        <v>710</v>
      </c>
      <c r="I16" s="45">
        <v>1</v>
      </c>
      <c r="J16" s="52">
        <v>0.85</v>
      </c>
    </row>
    <row x14ac:dyDescent="0.25" r="17" customHeight="1" ht="18">
      <c r="A17" s="50" t="s">
        <v>962</v>
      </c>
      <c r="B17" s="45" t="s">
        <v>967</v>
      </c>
      <c r="C17" s="51" t="s">
        <v>911</v>
      </c>
      <c r="D17" s="50" t="s">
        <v>911</v>
      </c>
      <c r="E17" s="50" t="s">
        <v>955</v>
      </c>
      <c r="F17" s="64">
        <v>9.76</v>
      </c>
      <c r="G17" s="45">
        <v>1</v>
      </c>
      <c r="H17" s="50" t="s">
        <v>710</v>
      </c>
      <c r="I17" s="45">
        <v>1</v>
      </c>
      <c r="J17" s="52">
        <v>0.85</v>
      </c>
    </row>
    <row x14ac:dyDescent="0.25" r="18" customHeight="1" ht="18">
      <c r="A18" s="44" t="s">
        <v>952</v>
      </c>
      <c r="B18" s="45" t="s">
        <v>967</v>
      </c>
      <c r="C18" s="46" t="s">
        <v>921</v>
      </c>
      <c r="D18" s="44" t="s">
        <v>954</v>
      </c>
      <c r="E18" s="44" t="s">
        <v>955</v>
      </c>
      <c r="F18" s="47">
        <v>30.4</v>
      </c>
      <c r="G18" s="48">
        <v>1</v>
      </c>
      <c r="H18" s="44" t="s">
        <v>976</v>
      </c>
      <c r="I18" s="48">
        <v>3</v>
      </c>
      <c r="J18" s="49">
        <v>0.85</v>
      </c>
    </row>
    <row x14ac:dyDescent="0.25" r="19" customHeight="1" ht="18">
      <c r="A19" s="44" t="s">
        <v>952</v>
      </c>
      <c r="B19" s="45" t="s">
        <v>967</v>
      </c>
      <c r="C19" s="46" t="s">
        <v>921</v>
      </c>
      <c r="D19" s="44" t="s">
        <v>977</v>
      </c>
      <c r="E19" s="44" t="s">
        <v>955</v>
      </c>
      <c r="F19" s="66">
        <v>37</v>
      </c>
      <c r="G19" s="48">
        <v>1</v>
      </c>
      <c r="H19" s="44" t="s">
        <v>976</v>
      </c>
      <c r="I19" s="48">
        <v>3</v>
      </c>
      <c r="J19" s="49">
        <v>0.85</v>
      </c>
    </row>
    <row x14ac:dyDescent="0.25" r="20" customHeight="1" ht="18">
      <c r="A20" s="44" t="s">
        <v>952</v>
      </c>
      <c r="B20" s="45" t="s">
        <v>967</v>
      </c>
      <c r="C20" s="46" t="s">
        <v>921</v>
      </c>
      <c r="D20" s="44" t="s">
        <v>978</v>
      </c>
      <c r="E20" s="44" t="s">
        <v>955</v>
      </c>
      <c r="F20" s="47">
        <v>2.8</v>
      </c>
      <c r="G20" s="48">
        <v>1</v>
      </c>
      <c r="H20" s="44" t="s">
        <v>976</v>
      </c>
      <c r="I20" s="48">
        <v>3</v>
      </c>
      <c r="J20" s="49">
        <v>0.85</v>
      </c>
    </row>
    <row x14ac:dyDescent="0.25" r="21" customHeight="1" ht="18">
      <c r="A21" s="44" t="s">
        <v>952</v>
      </c>
      <c r="B21" s="45" t="s">
        <v>967</v>
      </c>
      <c r="C21" s="46" t="s">
        <v>921</v>
      </c>
      <c r="D21" s="44" t="s">
        <v>979</v>
      </c>
      <c r="E21" s="44" t="s">
        <v>955</v>
      </c>
      <c r="F21" s="47">
        <v>3.2</v>
      </c>
      <c r="G21" s="48">
        <v>1</v>
      </c>
      <c r="H21" s="44" t="s">
        <v>976</v>
      </c>
      <c r="I21" s="48">
        <v>3</v>
      </c>
      <c r="J21" s="49">
        <v>0.85</v>
      </c>
    </row>
    <row x14ac:dyDescent="0.25" r="22" customHeight="1" ht="18">
      <c r="A22" s="44" t="s">
        <v>952</v>
      </c>
      <c r="B22" s="45" t="s">
        <v>967</v>
      </c>
      <c r="C22" s="46" t="s">
        <v>921</v>
      </c>
      <c r="D22" s="44" t="s">
        <v>980</v>
      </c>
      <c r="E22" s="44" t="s">
        <v>955</v>
      </c>
      <c r="F22" s="47">
        <v>3.4</v>
      </c>
      <c r="G22" s="48">
        <v>1</v>
      </c>
      <c r="H22" s="44" t="s">
        <v>976</v>
      </c>
      <c r="I22" s="48">
        <v>3</v>
      </c>
      <c r="J22" s="49">
        <v>0.85</v>
      </c>
    </row>
    <row x14ac:dyDescent="0.25" r="23" customHeight="1" ht="18">
      <c r="A23" s="44" t="s">
        <v>952</v>
      </c>
      <c r="B23" s="45" t="s">
        <v>967</v>
      </c>
      <c r="C23" s="46" t="s">
        <v>922</v>
      </c>
      <c r="D23" s="44" t="s">
        <v>957</v>
      </c>
      <c r="E23" s="44" t="s">
        <v>955</v>
      </c>
      <c r="F23" s="47">
        <v>30.4</v>
      </c>
      <c r="G23" s="48">
        <v>1</v>
      </c>
      <c r="H23" s="44" t="s">
        <v>976</v>
      </c>
      <c r="I23" s="48">
        <v>3</v>
      </c>
      <c r="J23" s="49">
        <v>0.85</v>
      </c>
    </row>
    <row x14ac:dyDescent="0.25" r="24" customHeight="1" ht="18">
      <c r="A24" s="44" t="s">
        <v>952</v>
      </c>
      <c r="B24" s="45" t="s">
        <v>967</v>
      </c>
      <c r="C24" s="46" t="s">
        <v>922</v>
      </c>
      <c r="D24" s="44" t="s">
        <v>981</v>
      </c>
      <c r="E24" s="44" t="s">
        <v>955</v>
      </c>
      <c r="F24" s="66">
        <v>37</v>
      </c>
      <c r="G24" s="48">
        <v>1</v>
      </c>
      <c r="H24" s="44" t="s">
        <v>976</v>
      </c>
      <c r="I24" s="48">
        <v>3</v>
      </c>
      <c r="J24" s="49">
        <v>0.85</v>
      </c>
    </row>
    <row x14ac:dyDescent="0.25" r="25" customHeight="1" ht="18">
      <c r="A25" s="44" t="s">
        <v>952</v>
      </c>
      <c r="B25" s="45" t="s">
        <v>967</v>
      </c>
      <c r="C25" s="46" t="s">
        <v>922</v>
      </c>
      <c r="D25" s="44" t="s">
        <v>982</v>
      </c>
      <c r="E25" s="44" t="s">
        <v>955</v>
      </c>
      <c r="F25" s="47">
        <v>2.8</v>
      </c>
      <c r="G25" s="48">
        <v>1</v>
      </c>
      <c r="H25" s="44" t="s">
        <v>976</v>
      </c>
      <c r="I25" s="48">
        <v>3</v>
      </c>
      <c r="J25" s="49">
        <v>0.85</v>
      </c>
    </row>
    <row x14ac:dyDescent="0.25" r="26" customHeight="1" ht="18">
      <c r="A26" s="44" t="s">
        <v>952</v>
      </c>
      <c r="B26" s="45" t="s">
        <v>967</v>
      </c>
      <c r="C26" s="46" t="s">
        <v>922</v>
      </c>
      <c r="D26" s="44" t="s">
        <v>983</v>
      </c>
      <c r="E26" s="44" t="s">
        <v>955</v>
      </c>
      <c r="F26" s="47">
        <v>3.2</v>
      </c>
      <c r="G26" s="48">
        <v>1</v>
      </c>
      <c r="H26" s="44" t="s">
        <v>976</v>
      </c>
      <c r="I26" s="48">
        <v>3</v>
      </c>
      <c r="J26" s="49">
        <v>0.85</v>
      </c>
    </row>
    <row x14ac:dyDescent="0.25" r="27" customHeight="1" ht="18">
      <c r="A27" s="44" t="s">
        <v>952</v>
      </c>
      <c r="B27" s="45" t="s">
        <v>967</v>
      </c>
      <c r="C27" s="46" t="s">
        <v>922</v>
      </c>
      <c r="D27" s="44" t="s">
        <v>984</v>
      </c>
      <c r="E27" s="44" t="s">
        <v>955</v>
      </c>
      <c r="F27" s="47">
        <v>3.4</v>
      </c>
      <c r="G27" s="48">
        <v>1</v>
      </c>
      <c r="H27" s="44" t="s">
        <v>976</v>
      </c>
      <c r="I27" s="48">
        <v>3</v>
      </c>
      <c r="J27" s="49">
        <v>0.85</v>
      </c>
    </row>
    <row x14ac:dyDescent="0.25" r="28" customHeight="1" ht="18">
      <c r="A28" s="44" t="s">
        <v>952</v>
      </c>
      <c r="B28" s="45" t="s">
        <v>967</v>
      </c>
      <c r="C28" s="46" t="s">
        <v>922</v>
      </c>
      <c r="D28" s="44" t="s">
        <v>985</v>
      </c>
      <c r="E28" s="44" t="s">
        <v>955</v>
      </c>
      <c r="F28" s="66">
        <v>5</v>
      </c>
      <c r="G28" s="48">
        <v>1</v>
      </c>
      <c r="H28" s="44" t="s">
        <v>976</v>
      </c>
      <c r="I28" s="48">
        <v>3</v>
      </c>
      <c r="J28" s="49">
        <v>0.85</v>
      </c>
    </row>
    <row x14ac:dyDescent="0.25" r="29" customHeight="1" ht="18">
      <c r="A29" s="44" t="s">
        <v>952</v>
      </c>
      <c r="B29" s="45" t="s">
        <v>967</v>
      </c>
      <c r="C29" s="46" t="s">
        <v>923</v>
      </c>
      <c r="D29" s="44" t="s">
        <v>958</v>
      </c>
      <c r="E29" s="44" t="s">
        <v>955</v>
      </c>
      <c r="F29" s="47">
        <v>30.4</v>
      </c>
      <c r="G29" s="48">
        <v>1</v>
      </c>
      <c r="H29" s="44" t="s">
        <v>976</v>
      </c>
      <c r="I29" s="48">
        <v>3</v>
      </c>
      <c r="J29" s="49">
        <v>0.85</v>
      </c>
    </row>
    <row x14ac:dyDescent="0.25" r="30" customHeight="1" ht="18">
      <c r="A30" s="44" t="s">
        <v>952</v>
      </c>
      <c r="B30" s="45" t="s">
        <v>967</v>
      </c>
      <c r="C30" s="46" t="s">
        <v>923</v>
      </c>
      <c r="D30" s="44" t="s">
        <v>986</v>
      </c>
      <c r="E30" s="44" t="s">
        <v>955</v>
      </c>
      <c r="F30" s="66">
        <v>37</v>
      </c>
      <c r="G30" s="48">
        <v>1</v>
      </c>
      <c r="H30" s="44" t="s">
        <v>976</v>
      </c>
      <c r="I30" s="48">
        <v>3</v>
      </c>
      <c r="J30" s="49">
        <v>0.85</v>
      </c>
    </row>
    <row x14ac:dyDescent="0.25" r="31" customHeight="1" ht="18">
      <c r="A31" s="44" t="s">
        <v>952</v>
      </c>
      <c r="B31" s="45" t="s">
        <v>967</v>
      </c>
      <c r="C31" s="46" t="s">
        <v>923</v>
      </c>
      <c r="D31" s="44" t="s">
        <v>987</v>
      </c>
      <c r="E31" s="44" t="s">
        <v>955</v>
      </c>
      <c r="F31" s="47">
        <v>3.4</v>
      </c>
      <c r="G31" s="48">
        <v>1</v>
      </c>
      <c r="H31" s="44" t="s">
        <v>976</v>
      </c>
      <c r="I31" s="48">
        <v>3</v>
      </c>
      <c r="J31" s="49">
        <v>0.85</v>
      </c>
    </row>
    <row x14ac:dyDescent="0.25" r="32" customHeight="1" ht="18">
      <c r="A32" s="44" t="s">
        <v>952</v>
      </c>
      <c r="B32" s="45" t="s">
        <v>967</v>
      </c>
      <c r="C32" s="46" t="s">
        <v>923</v>
      </c>
      <c r="D32" s="44" t="s">
        <v>988</v>
      </c>
      <c r="E32" s="44" t="s">
        <v>955</v>
      </c>
      <c r="F32" s="47">
        <v>2.8</v>
      </c>
      <c r="G32" s="48">
        <v>1</v>
      </c>
      <c r="H32" s="44" t="s">
        <v>976</v>
      </c>
      <c r="I32" s="48">
        <v>3</v>
      </c>
      <c r="J32" s="49">
        <v>0.85</v>
      </c>
    </row>
    <row x14ac:dyDescent="0.25" r="33" customHeight="1" ht="18">
      <c r="A33" s="44" t="s">
        <v>952</v>
      </c>
      <c r="B33" s="45" t="s">
        <v>967</v>
      </c>
      <c r="C33" s="46" t="s">
        <v>923</v>
      </c>
      <c r="D33" s="44" t="s">
        <v>989</v>
      </c>
      <c r="E33" s="44" t="s">
        <v>955</v>
      </c>
      <c r="F33" s="47">
        <v>3.2</v>
      </c>
      <c r="G33" s="48">
        <v>1</v>
      </c>
      <c r="H33" s="44" t="s">
        <v>976</v>
      </c>
      <c r="I33" s="48">
        <v>3</v>
      </c>
      <c r="J33" s="49">
        <v>0.85</v>
      </c>
    </row>
    <row x14ac:dyDescent="0.25" r="34" customHeight="1" ht="18">
      <c r="A34" s="1"/>
      <c r="B34" s="2"/>
      <c r="C34" s="67"/>
      <c r="D34" s="1"/>
      <c r="E34" s="1"/>
      <c r="F34" s="68"/>
      <c r="G34" s="3"/>
      <c r="H34" s="1"/>
      <c r="I34" s="3"/>
      <c r="J34" s="53"/>
    </row>
    <row x14ac:dyDescent="0.25" r="35" customHeight="1" ht="18">
      <c r="A35" s="1"/>
      <c r="B35" s="2"/>
      <c r="C35" s="67"/>
      <c r="D35" s="1"/>
      <c r="E35" s="1"/>
      <c r="F35" s="68"/>
      <c r="G35" s="3"/>
      <c r="H35" s="1"/>
      <c r="I35" s="3"/>
      <c r="J35" s="53"/>
    </row>
    <row x14ac:dyDescent="0.25" r="36" customHeight="1" ht="18">
      <c r="A36" s="1"/>
      <c r="B36" s="2"/>
      <c r="C36" s="67"/>
      <c r="D36" s="1"/>
      <c r="E36" s="1"/>
      <c r="F36" s="68"/>
      <c r="G36" s="3"/>
      <c r="H36" s="1"/>
      <c r="I36" s="3"/>
      <c r="J36" s="53"/>
    </row>
    <row x14ac:dyDescent="0.25" r="37" customHeight="1" ht="18">
      <c r="A37" s="1"/>
      <c r="B37" s="2"/>
      <c r="C37" s="67"/>
      <c r="D37" s="1"/>
      <c r="E37" s="1"/>
      <c r="F37" s="68"/>
      <c r="G37" s="3"/>
      <c r="H37" s="1"/>
      <c r="I37" s="3"/>
      <c r="J37" s="53"/>
    </row>
    <row x14ac:dyDescent="0.25" r="38" customHeight="1" ht="28.8" customFormat="1" s="8">
      <c r="A38" s="54" t="s">
        <v>959</v>
      </c>
      <c r="B38" s="55" t="s">
        <v>960</v>
      </c>
      <c r="C38" s="56" t="s">
        <v>961</v>
      </c>
      <c r="D38" s="9"/>
      <c r="E38" s="9"/>
      <c r="F38" s="69"/>
      <c r="G38" s="13"/>
      <c r="H38" s="9"/>
      <c r="I38" s="13"/>
      <c r="J38" s="70"/>
    </row>
    <row x14ac:dyDescent="0.25" r="39" customHeight="1" ht="18">
      <c r="A39" s="71" t="s">
        <v>707</v>
      </c>
      <c r="B39" s="72">
        <v>76212</v>
      </c>
      <c r="C39" s="73">
        <v>0.85</v>
      </c>
      <c r="D39" s="1"/>
      <c r="E39" s="1"/>
      <c r="F39" s="68"/>
      <c r="G39" s="3"/>
      <c r="H39" s="1"/>
      <c r="I39" s="3"/>
      <c r="J39" s="53"/>
    </row>
    <row x14ac:dyDescent="0.25" r="40" customHeight="1" ht="18">
      <c r="A40" s="71" t="s">
        <v>710</v>
      </c>
      <c r="B40" s="72">
        <v>76212</v>
      </c>
      <c r="C40" s="73">
        <v>0.85</v>
      </c>
      <c r="D40" s="1"/>
      <c r="E40" s="1"/>
      <c r="F40" s="68"/>
      <c r="G40" s="3"/>
      <c r="H40" s="1"/>
      <c r="I40" s="3"/>
      <c r="J40" s="53"/>
    </row>
    <row x14ac:dyDescent="0.25" r="41" customHeight="1" ht="18">
      <c r="A41" s="71" t="s">
        <v>715</v>
      </c>
      <c r="B41" s="72">
        <v>76212</v>
      </c>
      <c r="C41" s="73">
        <v>0.85</v>
      </c>
      <c r="D41" s="1"/>
      <c r="E41" s="1"/>
      <c r="F41" s="68"/>
      <c r="G41" s="3"/>
      <c r="H41" s="1"/>
      <c r="I41" s="3"/>
      <c r="J41" s="53"/>
    </row>
    <row x14ac:dyDescent="0.25" r="42" customHeight="1" ht="18">
      <c r="A42" s="71" t="s">
        <v>723</v>
      </c>
      <c r="B42" s="72">
        <v>76212</v>
      </c>
      <c r="C42" s="73">
        <v>0.85</v>
      </c>
      <c r="D42" s="1"/>
      <c r="E42" s="1"/>
      <c r="F42" s="68"/>
      <c r="G42" s="3"/>
      <c r="H42" s="1"/>
      <c r="I42" s="3"/>
      <c r="J42" s="53"/>
    </row>
    <row x14ac:dyDescent="0.25" r="43" customHeight="1" ht="18">
      <c r="A43" s="71" t="s">
        <v>727</v>
      </c>
      <c r="B43" s="72">
        <v>76212</v>
      </c>
      <c r="C43" s="73">
        <v>0.85</v>
      </c>
      <c r="D43" s="1"/>
      <c r="E43" s="1"/>
      <c r="F43" s="68"/>
      <c r="G43" s="3"/>
      <c r="H43" s="1"/>
      <c r="I43" s="3"/>
      <c r="J43" s="53"/>
    </row>
    <row x14ac:dyDescent="0.25" r="44" customHeight="1" ht="18">
      <c r="A44" s="71" t="s">
        <v>732</v>
      </c>
      <c r="B44" s="72">
        <v>76212</v>
      </c>
      <c r="C44" s="73">
        <v>0.85</v>
      </c>
      <c r="D44" s="1"/>
      <c r="E44" s="1"/>
      <c r="F44" s="68"/>
      <c r="G44" s="3"/>
      <c r="H44" s="1"/>
      <c r="I44" s="3"/>
      <c r="J44" s="53"/>
    </row>
    <row x14ac:dyDescent="0.25" r="45" customHeight="1" ht="18">
      <c r="A45" s="71" t="s">
        <v>735</v>
      </c>
      <c r="B45" s="72">
        <v>76212</v>
      </c>
      <c r="C45" s="73">
        <v>0.85</v>
      </c>
      <c r="D45" s="1"/>
      <c r="E45" s="1"/>
      <c r="F45" s="68"/>
      <c r="G45" s="3"/>
      <c r="H45" s="1"/>
      <c r="I45" s="3"/>
      <c r="J45" s="53"/>
    </row>
    <row x14ac:dyDescent="0.25" r="46" customHeight="1" ht="18">
      <c r="A46" s="71" t="s">
        <v>736</v>
      </c>
      <c r="B46" s="72">
        <v>76212</v>
      </c>
      <c r="C46" s="73">
        <v>0.85</v>
      </c>
      <c r="D46" s="1"/>
      <c r="E46" s="1"/>
      <c r="F46" s="68"/>
      <c r="G46" s="3"/>
      <c r="H46" s="1"/>
      <c r="I46" s="3"/>
      <c r="J46" s="5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0" width="11.290714285714287" customWidth="1" bestFit="1"/>
    <col min="2" max="2" style="61" width="13.862142857142858" customWidth="1" bestFit="1"/>
    <col min="3" max="3" style="62" width="25.862142857142857" customWidth="1" bestFit="1"/>
    <col min="4" max="4" style="60" width="11.290714285714287" customWidth="1" bestFit="1"/>
    <col min="5" max="5" style="60" width="11.290714285714287" customWidth="1" bestFit="1"/>
    <col min="6" max="6" style="62" width="15.290714285714287" customWidth="1" bestFit="1"/>
    <col min="7" max="7" style="61" width="52.005" customWidth="1" bestFit="1"/>
    <col min="8" max="8" style="60" width="11.862142857142858" customWidth="1" bestFit="1"/>
    <col min="9" max="9" style="61" width="11.290714285714287" customWidth="1" bestFit="1"/>
    <col min="10" max="10" style="63" width="13.005" customWidth="1" bestFit="1"/>
  </cols>
  <sheetData>
    <row x14ac:dyDescent="0.25" r="1" customHeight="1" ht="26.399999999999995" customFormat="1" s="8">
      <c r="A1" s="39" t="s">
        <v>943</v>
      </c>
      <c r="B1" s="40" t="s">
        <v>944</v>
      </c>
      <c r="C1" s="41" t="s">
        <v>898</v>
      </c>
      <c r="D1" s="39" t="s">
        <v>945</v>
      </c>
      <c r="E1" s="39" t="s">
        <v>946</v>
      </c>
      <c r="F1" s="41" t="s">
        <v>947</v>
      </c>
      <c r="G1" s="40" t="s">
        <v>948</v>
      </c>
      <c r="H1" s="39" t="s">
        <v>949</v>
      </c>
      <c r="I1" s="42" t="s">
        <v>950</v>
      </c>
      <c r="J1" s="43" t="s">
        <v>951</v>
      </c>
    </row>
    <row x14ac:dyDescent="0.25" r="2" customHeight="1" ht="18">
      <c r="A2" s="50" t="s">
        <v>962</v>
      </c>
      <c r="B2" s="45" t="s">
        <v>963</v>
      </c>
      <c r="C2" s="51" t="s">
        <v>909</v>
      </c>
      <c r="D2" s="50" t="s">
        <v>909</v>
      </c>
      <c r="E2" s="50" t="s">
        <v>955</v>
      </c>
      <c r="F2" s="64">
        <v>86.37360000000001</v>
      </c>
      <c r="G2" s="45">
        <v>1</v>
      </c>
      <c r="H2" s="50" t="s">
        <v>343</v>
      </c>
      <c r="I2" s="45">
        <v>1</v>
      </c>
      <c r="J2" s="52">
        <v>0.85</v>
      </c>
    </row>
    <row x14ac:dyDescent="0.25" r="3" customHeight="1" ht="18">
      <c r="A3" s="50" t="s">
        <v>962</v>
      </c>
      <c r="B3" s="45" t="s">
        <v>963</v>
      </c>
      <c r="C3" s="51" t="s">
        <v>910</v>
      </c>
      <c r="D3" s="50" t="s">
        <v>964</v>
      </c>
      <c r="E3" s="50" t="s">
        <v>955</v>
      </c>
      <c r="F3" s="64">
        <v>68.56</v>
      </c>
      <c r="G3" s="45">
        <v>1</v>
      </c>
      <c r="H3" s="50" t="s">
        <v>328</v>
      </c>
      <c r="I3" s="45">
        <v>1</v>
      </c>
      <c r="J3" s="52">
        <v>0.85</v>
      </c>
    </row>
    <row x14ac:dyDescent="0.25" r="4" customHeight="1" ht="18">
      <c r="A4" s="50" t="s">
        <v>962</v>
      </c>
      <c r="B4" s="45" t="s">
        <v>963</v>
      </c>
      <c r="C4" s="51" t="s">
        <v>919</v>
      </c>
      <c r="D4" s="50" t="s">
        <v>965</v>
      </c>
      <c r="E4" s="50" t="s">
        <v>955</v>
      </c>
      <c r="F4" s="64">
        <v>14.17</v>
      </c>
      <c r="G4" s="45">
        <v>1</v>
      </c>
      <c r="H4" s="50" t="s">
        <v>307</v>
      </c>
      <c r="I4" s="45">
        <v>1</v>
      </c>
      <c r="J4" s="52">
        <v>0.85</v>
      </c>
    </row>
    <row x14ac:dyDescent="0.25" r="5" customHeight="1" ht="18">
      <c r="A5" s="50" t="s">
        <v>962</v>
      </c>
      <c r="B5" s="45" t="s">
        <v>963</v>
      </c>
      <c r="C5" s="51" t="s">
        <v>915</v>
      </c>
      <c r="D5" s="50" t="s">
        <v>912</v>
      </c>
      <c r="E5" s="50" t="s">
        <v>955</v>
      </c>
      <c r="F5" s="64">
        <v>34</v>
      </c>
      <c r="G5" s="45">
        <v>1</v>
      </c>
      <c r="H5" s="50" t="s">
        <v>318</v>
      </c>
      <c r="I5" s="45">
        <v>1</v>
      </c>
      <c r="J5" s="52">
        <v>0.85</v>
      </c>
    </row>
    <row x14ac:dyDescent="0.25" r="6" customHeight="1" ht="18">
      <c r="A6" s="50" t="s">
        <v>962</v>
      </c>
      <c r="B6" s="45" t="s">
        <v>963</v>
      </c>
      <c r="C6" s="51" t="s">
        <v>918</v>
      </c>
      <c r="D6" s="50" t="s">
        <v>912</v>
      </c>
      <c r="E6" s="50" t="s">
        <v>955</v>
      </c>
      <c r="F6" s="64">
        <v>34</v>
      </c>
      <c r="G6" s="45">
        <v>1</v>
      </c>
      <c r="H6" s="50" t="s">
        <v>335</v>
      </c>
      <c r="I6" s="45">
        <v>1</v>
      </c>
      <c r="J6" s="52">
        <v>0.85</v>
      </c>
    </row>
    <row x14ac:dyDescent="0.25" r="7" customHeight="1" ht="18">
      <c r="A7" s="44" t="s">
        <v>952</v>
      </c>
      <c r="B7" s="45" t="s">
        <v>963</v>
      </c>
      <c r="C7" s="46" t="s">
        <v>921</v>
      </c>
      <c r="D7" s="44" t="s">
        <v>954</v>
      </c>
      <c r="E7" s="44" t="s">
        <v>955</v>
      </c>
      <c r="F7" s="47">
        <v>61</v>
      </c>
      <c r="G7" s="48">
        <v>1</v>
      </c>
      <c r="H7" s="44" t="s">
        <v>966</v>
      </c>
      <c r="I7" s="48">
        <v>3</v>
      </c>
      <c r="J7" s="49">
        <v>0.85</v>
      </c>
    </row>
    <row x14ac:dyDescent="0.25" r="8" customHeight="1" ht="18">
      <c r="A8" s="44" t="s">
        <v>952</v>
      </c>
      <c r="B8" s="45" t="s">
        <v>963</v>
      </c>
      <c r="C8" s="46" t="s">
        <v>922</v>
      </c>
      <c r="D8" s="44" t="s">
        <v>957</v>
      </c>
      <c r="E8" s="44" t="s">
        <v>955</v>
      </c>
      <c r="F8" s="47">
        <v>61</v>
      </c>
      <c r="G8" s="48">
        <v>1</v>
      </c>
      <c r="H8" s="44" t="s">
        <v>966</v>
      </c>
      <c r="I8" s="48">
        <v>3</v>
      </c>
      <c r="J8" s="49">
        <v>0.85</v>
      </c>
    </row>
    <row x14ac:dyDescent="0.25" r="9" customHeight="1" ht="18">
      <c r="A9" s="44" t="s">
        <v>952</v>
      </c>
      <c r="B9" s="45" t="s">
        <v>963</v>
      </c>
      <c r="C9" s="46" t="s">
        <v>923</v>
      </c>
      <c r="D9" s="44" t="s">
        <v>958</v>
      </c>
      <c r="E9" s="44" t="s">
        <v>955</v>
      </c>
      <c r="F9" s="47">
        <v>90.3</v>
      </c>
      <c r="G9" s="48">
        <v>1</v>
      </c>
      <c r="H9" s="44" t="s">
        <v>284</v>
      </c>
      <c r="I9" s="48">
        <v>3</v>
      </c>
      <c r="J9" s="49">
        <v>0.85</v>
      </c>
    </row>
    <row x14ac:dyDescent="0.25" r="10" customHeight="1" ht="18">
      <c r="A10" s="50"/>
      <c r="B10" s="45"/>
      <c r="C10" s="51"/>
      <c r="D10" s="50"/>
      <c r="E10" s="50"/>
      <c r="F10" s="51"/>
      <c r="G10" s="45"/>
      <c r="H10" s="50"/>
      <c r="I10" s="52"/>
      <c r="J10" s="53"/>
    </row>
    <row x14ac:dyDescent="0.25" r="11" customHeight="1" ht="18">
      <c r="A11" s="50"/>
      <c r="B11" s="45"/>
      <c r="C11" s="51"/>
      <c r="D11" s="50"/>
      <c r="E11" s="50"/>
      <c r="F11" s="51"/>
      <c r="G11" s="45"/>
      <c r="H11" s="50"/>
      <c r="I11" s="52"/>
      <c r="J11" s="53"/>
    </row>
    <row x14ac:dyDescent="0.25" r="12" customHeight="1" ht="18">
      <c r="A12" s="50"/>
      <c r="B12" s="45"/>
      <c r="C12" s="51"/>
      <c r="D12" s="50"/>
      <c r="E12" s="50"/>
      <c r="F12" s="51"/>
      <c r="G12" s="45"/>
      <c r="H12" s="50"/>
      <c r="I12" s="52"/>
      <c r="J12" s="53"/>
    </row>
    <row x14ac:dyDescent="0.25" r="13" customHeight="1" ht="28.8">
      <c r="A13" s="54" t="s">
        <v>959</v>
      </c>
      <c r="B13" s="55" t="s">
        <v>960</v>
      </c>
      <c r="C13" s="56" t="s">
        <v>961</v>
      </c>
      <c r="D13" s="50"/>
      <c r="E13" s="50"/>
      <c r="F13" s="51"/>
      <c r="G13" s="45"/>
      <c r="H13" s="50"/>
      <c r="I13" s="52"/>
      <c r="J13" s="53"/>
    </row>
    <row x14ac:dyDescent="0.25" r="14" customHeight="1" ht="18">
      <c r="A14" s="57" t="s">
        <v>284</v>
      </c>
      <c r="B14" s="4">
        <v>76212</v>
      </c>
      <c r="C14" s="58">
        <v>0.85</v>
      </c>
      <c r="D14" s="50"/>
      <c r="E14" s="50"/>
      <c r="F14" s="51"/>
      <c r="G14" s="45"/>
      <c r="H14" s="50"/>
      <c r="I14" s="52"/>
      <c r="J14" s="53"/>
    </row>
    <row x14ac:dyDescent="0.25" r="15" customHeight="1" ht="18">
      <c r="A15" s="57" t="s">
        <v>291</v>
      </c>
      <c r="B15" s="4">
        <v>76212</v>
      </c>
      <c r="C15" s="58">
        <v>0.85</v>
      </c>
      <c r="D15" s="50"/>
      <c r="E15" s="50"/>
      <c r="F15" s="51"/>
      <c r="G15" s="45"/>
      <c r="H15" s="50"/>
      <c r="I15" s="52"/>
      <c r="J15" s="53"/>
    </row>
    <row x14ac:dyDescent="0.25" r="16" customHeight="1" ht="18">
      <c r="A16" s="57" t="s">
        <v>300</v>
      </c>
      <c r="B16" s="4">
        <v>76212</v>
      </c>
      <c r="C16" s="58">
        <v>0.85</v>
      </c>
      <c r="D16" s="50"/>
      <c r="E16" s="50"/>
      <c r="F16" s="51"/>
      <c r="G16" s="45"/>
      <c r="H16" s="50"/>
      <c r="I16" s="52"/>
      <c r="J16" s="53"/>
    </row>
    <row x14ac:dyDescent="0.25" r="17" customHeight="1" ht="18">
      <c r="A17" s="57" t="s">
        <v>304</v>
      </c>
      <c r="B17" s="4">
        <v>76212</v>
      </c>
      <c r="C17" s="58">
        <v>0.85</v>
      </c>
      <c r="D17" s="50"/>
      <c r="E17" s="50"/>
      <c r="F17" s="51"/>
      <c r="G17" s="45"/>
      <c r="H17" s="50"/>
      <c r="I17" s="52"/>
      <c r="J17" s="53"/>
    </row>
    <row x14ac:dyDescent="0.25" r="18" customHeight="1" ht="18">
      <c r="A18" s="57" t="s">
        <v>306</v>
      </c>
      <c r="B18" s="4">
        <v>76212</v>
      </c>
      <c r="C18" s="58">
        <v>0.85</v>
      </c>
      <c r="D18" s="50"/>
      <c r="E18" s="59"/>
      <c r="F18" s="51"/>
      <c r="G18" s="45"/>
      <c r="H18" s="50"/>
      <c r="I18" s="52"/>
      <c r="J18" s="53"/>
    </row>
    <row x14ac:dyDescent="0.25" r="19" customHeight="1" ht="18">
      <c r="A19" s="57" t="s">
        <v>307</v>
      </c>
      <c r="B19" s="4">
        <v>76212</v>
      </c>
      <c r="C19" s="58">
        <v>0.85</v>
      </c>
      <c r="D19" s="50"/>
      <c r="E19" s="59"/>
      <c r="F19" s="51"/>
      <c r="G19" s="45"/>
      <c r="H19" s="50"/>
      <c r="I19" s="52"/>
      <c r="J19" s="53"/>
    </row>
    <row x14ac:dyDescent="0.25" r="20" customHeight="1" ht="18">
      <c r="A20" s="57" t="s">
        <v>318</v>
      </c>
      <c r="B20" s="4">
        <v>76212</v>
      </c>
      <c r="C20" s="58">
        <v>0.85</v>
      </c>
      <c r="D20" s="50"/>
      <c r="E20" s="50"/>
      <c r="F20" s="51"/>
      <c r="G20" s="45"/>
      <c r="H20" s="50"/>
      <c r="I20" s="52"/>
      <c r="J20" s="53"/>
    </row>
    <row x14ac:dyDescent="0.25" r="21" customHeight="1" ht="18">
      <c r="A21" s="57" t="s">
        <v>328</v>
      </c>
      <c r="B21" s="4">
        <v>76212</v>
      </c>
      <c r="C21" s="58">
        <v>0.85</v>
      </c>
      <c r="D21" s="50"/>
      <c r="E21" s="50"/>
      <c r="F21" s="51"/>
      <c r="G21" s="45"/>
      <c r="H21" s="50"/>
      <c r="I21" s="52"/>
      <c r="J21" s="53"/>
    </row>
    <row x14ac:dyDescent="0.25" r="22" customHeight="1" ht="18">
      <c r="A22" s="57" t="s">
        <v>335</v>
      </c>
      <c r="B22" s="4">
        <v>76212</v>
      </c>
      <c r="C22" s="58">
        <v>0.85</v>
      </c>
      <c r="D22" s="50"/>
      <c r="E22" s="50"/>
      <c r="F22" s="51"/>
      <c r="G22" s="45"/>
      <c r="H22" s="50"/>
      <c r="I22" s="52"/>
      <c r="J22" s="53"/>
    </row>
    <row x14ac:dyDescent="0.25" r="23" customHeight="1" ht="18">
      <c r="A23" s="57" t="s">
        <v>343</v>
      </c>
      <c r="B23" s="4">
        <v>76212</v>
      </c>
      <c r="C23" s="58">
        <v>0.85</v>
      </c>
      <c r="D23" s="50"/>
      <c r="E23" s="50"/>
      <c r="F23" s="51"/>
      <c r="G23" s="45"/>
      <c r="H23" s="50"/>
      <c r="I23" s="52"/>
      <c r="J23" s="53"/>
    </row>
    <row x14ac:dyDescent="0.25" r="24" customHeight="1" ht="18">
      <c r="A24" s="50"/>
      <c r="B24" s="45"/>
      <c r="C24" s="51"/>
      <c r="D24" s="50"/>
      <c r="E24" s="50"/>
      <c r="F24" s="51"/>
      <c r="G24" s="45"/>
      <c r="H24" s="50"/>
      <c r="I24" s="52"/>
      <c r="J24" s="53"/>
    </row>
    <row x14ac:dyDescent="0.25" r="25" customHeight="1" ht="18">
      <c r="A25" s="50"/>
      <c r="B25" s="45"/>
      <c r="C25" s="51"/>
      <c r="D25" s="50"/>
      <c r="E25" s="50"/>
      <c r="F25" s="51"/>
      <c r="G25" s="45"/>
      <c r="H25" s="50"/>
      <c r="I25" s="52"/>
      <c r="J25" s="53"/>
    </row>
    <row x14ac:dyDescent="0.25" r="26" customHeight="1" ht="18">
      <c r="A26" s="50"/>
      <c r="B26" s="45"/>
      <c r="C26" s="51"/>
      <c r="D26" s="50"/>
      <c r="E26" s="50"/>
      <c r="F26" s="51"/>
      <c r="G26" s="45"/>
      <c r="H26" s="50"/>
      <c r="I26" s="52"/>
      <c r="J26" s="53"/>
    </row>
    <row x14ac:dyDescent="0.25" r="27" customHeight="1" ht="18">
      <c r="A27" s="50"/>
      <c r="B27" s="45"/>
      <c r="C27" s="51"/>
      <c r="D27" s="50"/>
      <c r="E27" s="50"/>
      <c r="F27" s="51"/>
      <c r="G27" s="45"/>
      <c r="H27" s="50"/>
      <c r="I27" s="52"/>
      <c r="J27" s="53"/>
    </row>
    <row x14ac:dyDescent="0.25" r="28" customHeight="1" ht="18">
      <c r="A28" s="50"/>
      <c r="B28" s="45"/>
      <c r="C28" s="51"/>
      <c r="D28" s="50"/>
      <c r="E28" s="50"/>
      <c r="F28" s="51"/>
      <c r="G28" s="45"/>
      <c r="H28" s="50"/>
      <c r="I28" s="52"/>
      <c r="J28" s="53"/>
    </row>
    <row x14ac:dyDescent="0.25" r="29" customHeight="1" ht="18">
      <c r="A29" s="50"/>
      <c r="B29" s="45"/>
      <c r="C29" s="51"/>
      <c r="D29" s="50"/>
      <c r="E29" s="50"/>
      <c r="F29" s="51"/>
      <c r="G29" s="45"/>
      <c r="H29" s="50"/>
      <c r="I29" s="52"/>
      <c r="J29" s="53"/>
    </row>
    <row x14ac:dyDescent="0.25" r="30" customHeight="1" ht="18">
      <c r="A30" s="50"/>
      <c r="B30" s="45"/>
      <c r="C30" s="51"/>
      <c r="D30" s="50"/>
      <c r="E30" s="50"/>
      <c r="F30" s="51"/>
      <c r="G30" s="45"/>
      <c r="H30" s="50"/>
      <c r="I30" s="52"/>
      <c r="J30" s="53"/>
    </row>
    <row x14ac:dyDescent="0.25" r="31" customHeight="1" ht="18">
      <c r="A31" s="50"/>
      <c r="B31" s="45"/>
      <c r="C31" s="51"/>
      <c r="D31" s="50"/>
      <c r="E31" s="50"/>
      <c r="F31" s="51"/>
      <c r="G31" s="45"/>
      <c r="H31" s="50"/>
      <c r="I31" s="52"/>
      <c r="J31" s="53"/>
    </row>
    <row x14ac:dyDescent="0.25" r="32" customHeight="1" ht="18">
      <c r="A32" s="50"/>
      <c r="B32" s="45"/>
      <c r="C32" s="51"/>
      <c r="D32" s="50"/>
      <c r="E32" s="50"/>
      <c r="F32" s="51"/>
      <c r="G32" s="45"/>
      <c r="H32" s="50"/>
      <c r="I32" s="52"/>
      <c r="J32" s="53"/>
    </row>
    <row x14ac:dyDescent="0.25" r="33" customHeight="1" ht="18">
      <c r="A33" s="50"/>
      <c r="B33" s="45"/>
      <c r="C33" s="51"/>
      <c r="D33" s="50"/>
      <c r="E33" s="50"/>
      <c r="F33" s="51"/>
      <c r="G33" s="45"/>
      <c r="H33" s="50"/>
      <c r="I33" s="52"/>
      <c r="J33" s="53"/>
    </row>
    <row x14ac:dyDescent="0.25" r="34" customHeight="1" ht="18">
      <c r="A34" s="50"/>
      <c r="B34" s="45"/>
      <c r="C34" s="51"/>
      <c r="D34" s="50"/>
      <c r="E34" s="50"/>
      <c r="F34" s="51"/>
      <c r="G34" s="45"/>
      <c r="H34" s="50"/>
      <c r="I34" s="52"/>
      <c r="J34" s="53"/>
    </row>
    <row x14ac:dyDescent="0.25" r="35" customHeight="1" ht="18">
      <c r="A35" s="50"/>
      <c r="B35" s="45"/>
      <c r="C35" s="51"/>
      <c r="D35" s="50"/>
      <c r="E35" s="50"/>
      <c r="F35" s="51"/>
      <c r="G35" s="45"/>
      <c r="H35" s="50"/>
      <c r="I35" s="52"/>
      <c r="J35" s="53"/>
    </row>
    <row x14ac:dyDescent="0.25" r="36" customHeight="1" ht="18">
      <c r="A36" s="50"/>
      <c r="B36" s="45"/>
      <c r="C36" s="51"/>
      <c r="D36" s="50"/>
      <c r="E36" s="50"/>
      <c r="F36" s="51"/>
      <c r="G36" s="45"/>
      <c r="H36" s="50"/>
      <c r="I36" s="52"/>
      <c r="J36" s="53"/>
    </row>
    <row x14ac:dyDescent="0.25" r="37" customHeight="1" ht="18">
      <c r="A37" s="50"/>
      <c r="B37" s="45"/>
      <c r="C37" s="51"/>
      <c r="D37" s="50"/>
      <c r="E37" s="50"/>
      <c r="F37" s="51"/>
      <c r="G37" s="45"/>
      <c r="H37" s="50"/>
      <c r="I37" s="52"/>
      <c r="J37" s="53"/>
    </row>
    <row x14ac:dyDescent="0.25" r="38" customHeight="1" ht="18">
      <c r="A38" s="50"/>
      <c r="B38" s="45"/>
      <c r="C38" s="51"/>
      <c r="D38" s="50"/>
      <c r="E38" s="50"/>
      <c r="F38" s="51"/>
      <c r="G38" s="45"/>
      <c r="H38" s="50"/>
      <c r="I38" s="52"/>
      <c r="J38" s="53"/>
    </row>
    <row x14ac:dyDescent="0.25" r="39" customHeight="1" ht="18">
      <c r="A39" s="50"/>
      <c r="B39" s="45"/>
      <c r="C39" s="51"/>
      <c r="D39" s="50"/>
      <c r="E39" s="50"/>
      <c r="F39" s="51"/>
      <c r="G39" s="45"/>
      <c r="H39" s="50"/>
      <c r="I39" s="52"/>
      <c r="J39" s="53"/>
    </row>
    <row x14ac:dyDescent="0.25" r="40" customHeight="1" ht="18">
      <c r="A40" s="50"/>
      <c r="B40" s="45"/>
      <c r="C40" s="51"/>
      <c r="D40" s="50"/>
      <c r="E40" s="50"/>
      <c r="F40" s="51"/>
      <c r="G40" s="45"/>
      <c r="H40" s="50"/>
      <c r="I40" s="52"/>
      <c r="J40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0" width="11.290714285714287" customWidth="1" bestFit="1"/>
    <col min="2" max="2" style="61" width="13.862142857142858" customWidth="1" bestFit="1"/>
    <col min="3" max="3" style="62" width="25.862142857142857" customWidth="1" bestFit="1"/>
    <col min="4" max="4" style="60" width="11.290714285714287" customWidth="1" bestFit="1"/>
    <col min="5" max="5" style="60" width="11.290714285714287" customWidth="1" bestFit="1"/>
    <col min="6" max="6" style="62" width="15.290714285714287" customWidth="1" bestFit="1"/>
    <col min="7" max="7" style="61" width="52.005" customWidth="1" bestFit="1"/>
    <col min="8" max="8" style="60" width="11.862142857142858" customWidth="1" bestFit="1"/>
    <col min="9" max="9" style="61" width="11.290714285714287" customWidth="1" bestFit="1"/>
    <col min="10" max="10" style="63" width="13.005" customWidth="1" bestFit="1"/>
  </cols>
  <sheetData>
    <row x14ac:dyDescent="0.25" r="1" customHeight="1" ht="26.399999999999995" customFormat="1" s="8">
      <c r="A1" s="39" t="s">
        <v>943</v>
      </c>
      <c r="B1" s="40" t="s">
        <v>944</v>
      </c>
      <c r="C1" s="41" t="s">
        <v>898</v>
      </c>
      <c r="D1" s="39" t="s">
        <v>945</v>
      </c>
      <c r="E1" s="39" t="s">
        <v>946</v>
      </c>
      <c r="F1" s="41" t="s">
        <v>947</v>
      </c>
      <c r="G1" s="40" t="s">
        <v>948</v>
      </c>
      <c r="H1" s="39" t="s">
        <v>949</v>
      </c>
      <c r="I1" s="42" t="s">
        <v>950</v>
      </c>
      <c r="J1" s="43" t="s">
        <v>951</v>
      </c>
    </row>
    <row x14ac:dyDescent="0.25" r="2" customHeight="1" ht="18">
      <c r="A2" s="44" t="s">
        <v>952</v>
      </c>
      <c r="B2" s="45" t="s">
        <v>953</v>
      </c>
      <c r="C2" s="46" t="s">
        <v>921</v>
      </c>
      <c r="D2" s="44" t="s">
        <v>954</v>
      </c>
      <c r="E2" s="44" t="s">
        <v>955</v>
      </c>
      <c r="F2" s="47">
        <v>38.76247599071444</v>
      </c>
      <c r="G2" s="48">
        <v>1</v>
      </c>
      <c r="H2" s="44" t="s">
        <v>956</v>
      </c>
      <c r="I2" s="48">
        <v>3</v>
      </c>
      <c r="J2" s="49">
        <v>0.85</v>
      </c>
    </row>
    <row x14ac:dyDescent="0.25" r="3" customHeight="1" ht="18">
      <c r="A3" s="44" t="s">
        <v>952</v>
      </c>
      <c r="B3" s="45" t="s">
        <v>953</v>
      </c>
      <c r="C3" s="46" t="s">
        <v>922</v>
      </c>
      <c r="D3" s="44" t="s">
        <v>957</v>
      </c>
      <c r="E3" s="44" t="s">
        <v>955</v>
      </c>
      <c r="F3" s="47">
        <v>80.03649635036497</v>
      </c>
      <c r="G3" s="48">
        <v>1</v>
      </c>
      <c r="H3" s="44" t="s">
        <v>121</v>
      </c>
      <c r="I3" s="48">
        <v>3</v>
      </c>
      <c r="J3" s="49">
        <v>0.85</v>
      </c>
    </row>
    <row x14ac:dyDescent="0.25" r="4" customHeight="1" ht="18">
      <c r="A4" s="44" t="s">
        <v>952</v>
      </c>
      <c r="B4" s="45" t="s">
        <v>953</v>
      </c>
      <c r="C4" s="46" t="s">
        <v>923</v>
      </c>
      <c r="D4" s="44" t="s">
        <v>958</v>
      </c>
      <c r="E4" s="44" t="s">
        <v>955</v>
      </c>
      <c r="F4" s="47">
        <v>83.97420612936823</v>
      </c>
      <c r="G4" s="48">
        <v>1</v>
      </c>
      <c r="H4" s="44" t="s">
        <v>114</v>
      </c>
      <c r="I4" s="48">
        <v>3</v>
      </c>
      <c r="J4" s="49">
        <v>0.85</v>
      </c>
    </row>
    <row x14ac:dyDescent="0.25" r="5" customHeight="1" ht="18">
      <c r="A5" s="50"/>
      <c r="B5" s="45"/>
      <c r="C5" s="51"/>
      <c r="D5" s="50"/>
      <c r="E5" s="50"/>
      <c r="F5" s="51"/>
      <c r="G5" s="45"/>
      <c r="H5" s="50"/>
      <c r="I5" s="52"/>
      <c r="J5" s="53"/>
    </row>
    <row x14ac:dyDescent="0.25" r="6" customHeight="1" ht="18">
      <c r="A6" s="50"/>
      <c r="B6" s="45"/>
      <c r="C6" s="51"/>
      <c r="D6" s="50"/>
      <c r="E6" s="50"/>
      <c r="F6" s="51"/>
      <c r="G6" s="45"/>
      <c r="H6" s="50"/>
      <c r="I6" s="52"/>
      <c r="J6" s="53"/>
    </row>
    <row x14ac:dyDescent="0.25" r="7" customHeight="1" ht="18">
      <c r="A7" s="50"/>
      <c r="B7" s="45"/>
      <c r="C7" s="51"/>
      <c r="D7" s="50"/>
      <c r="E7" s="50"/>
      <c r="F7" s="51"/>
      <c r="G7" s="45"/>
      <c r="H7" s="50"/>
      <c r="I7" s="52"/>
      <c r="J7" s="53"/>
    </row>
    <row x14ac:dyDescent="0.25" r="8" customHeight="1" ht="18">
      <c r="A8" s="50"/>
      <c r="B8" s="45"/>
      <c r="C8" s="51"/>
      <c r="D8" s="50"/>
      <c r="E8" s="50"/>
      <c r="F8" s="51"/>
      <c r="G8" s="45"/>
      <c r="H8" s="50"/>
      <c r="I8" s="52"/>
      <c r="J8" s="53"/>
    </row>
    <row x14ac:dyDescent="0.25" r="9" customHeight="1" ht="18">
      <c r="A9" s="50"/>
      <c r="B9" s="45"/>
      <c r="C9" s="51"/>
      <c r="D9" s="50"/>
      <c r="E9" s="50"/>
      <c r="F9" s="51"/>
      <c r="G9" s="45"/>
      <c r="H9" s="50"/>
      <c r="I9" s="52"/>
      <c r="J9" s="53"/>
    </row>
    <row x14ac:dyDescent="0.25" r="10" customHeight="1" ht="28.8">
      <c r="A10" s="54" t="s">
        <v>959</v>
      </c>
      <c r="B10" s="55" t="s">
        <v>960</v>
      </c>
      <c r="C10" s="56" t="s">
        <v>961</v>
      </c>
      <c r="D10" s="50"/>
      <c r="E10" s="50"/>
      <c r="F10" s="51"/>
      <c r="G10" s="45"/>
      <c r="H10" s="50"/>
      <c r="I10" s="52"/>
      <c r="J10" s="53"/>
    </row>
    <row x14ac:dyDescent="0.25" r="11" customHeight="1" ht="18">
      <c r="A11" s="57" t="s">
        <v>99</v>
      </c>
      <c r="B11" s="4">
        <v>76212</v>
      </c>
      <c r="C11" s="58">
        <v>0.85</v>
      </c>
      <c r="D11" s="50"/>
      <c r="E11" s="50"/>
      <c r="F11" s="51"/>
      <c r="G11" s="45"/>
      <c r="H11" s="50"/>
      <c r="I11" s="52"/>
      <c r="J11" s="53"/>
    </row>
    <row x14ac:dyDescent="0.25" r="12" customHeight="1" ht="18">
      <c r="A12" s="57" t="s">
        <v>111</v>
      </c>
      <c r="B12" s="4">
        <v>76212</v>
      </c>
      <c r="C12" s="58">
        <v>0.85</v>
      </c>
      <c r="D12" s="50"/>
      <c r="E12" s="50"/>
      <c r="F12" s="51"/>
      <c r="G12" s="45"/>
      <c r="H12" s="50"/>
      <c r="I12" s="52"/>
      <c r="J12" s="53"/>
    </row>
    <row x14ac:dyDescent="0.25" r="13" customHeight="1" ht="18">
      <c r="A13" s="57" t="s">
        <v>114</v>
      </c>
      <c r="B13" s="4">
        <v>76212</v>
      </c>
      <c r="C13" s="58">
        <v>0.85</v>
      </c>
      <c r="D13" s="50"/>
      <c r="E13" s="59"/>
      <c r="F13" s="51"/>
      <c r="G13" s="45"/>
      <c r="H13" s="50"/>
      <c r="I13" s="52"/>
      <c r="J13" s="53"/>
    </row>
    <row x14ac:dyDescent="0.25" r="14" customHeight="1" ht="18">
      <c r="A14" s="57" t="s">
        <v>121</v>
      </c>
      <c r="B14" s="4">
        <v>76212</v>
      </c>
      <c r="C14" s="58">
        <v>0.85</v>
      </c>
      <c r="D14" s="50"/>
      <c r="E14" s="59"/>
      <c r="F14" s="51"/>
      <c r="G14" s="45"/>
      <c r="H14" s="50"/>
      <c r="I14" s="52"/>
      <c r="J14" s="53"/>
    </row>
    <row x14ac:dyDescent="0.25" r="15" customHeight="1" ht="18">
      <c r="A15" s="50"/>
      <c r="B15" s="45"/>
      <c r="C15" s="51"/>
      <c r="D15" s="50"/>
      <c r="E15" s="50"/>
      <c r="F15" s="51"/>
      <c r="G15" s="45"/>
      <c r="H15" s="50"/>
      <c r="I15" s="52"/>
      <c r="J15" s="53"/>
    </row>
    <row x14ac:dyDescent="0.25" r="16" customHeight="1" ht="18">
      <c r="A16" s="50"/>
      <c r="B16" s="45"/>
      <c r="C16" s="51"/>
      <c r="D16" s="50"/>
      <c r="E16" s="50"/>
      <c r="F16" s="51"/>
      <c r="G16" s="45"/>
      <c r="H16" s="50"/>
      <c r="I16" s="52"/>
      <c r="J16" s="53"/>
    </row>
    <row x14ac:dyDescent="0.25" r="17" customHeight="1" ht="18">
      <c r="A17" s="50"/>
      <c r="B17" s="45"/>
      <c r="C17" s="51"/>
      <c r="D17" s="50"/>
      <c r="E17" s="50"/>
      <c r="F17" s="51"/>
      <c r="G17" s="45"/>
      <c r="H17" s="50"/>
      <c r="I17" s="52"/>
      <c r="J17" s="53"/>
    </row>
    <row x14ac:dyDescent="0.25" r="18" customHeight="1" ht="18">
      <c r="A18" s="50"/>
      <c r="B18" s="45"/>
      <c r="C18" s="51"/>
      <c r="D18" s="50"/>
      <c r="E18" s="50"/>
      <c r="F18" s="51"/>
      <c r="G18" s="45"/>
      <c r="H18" s="50"/>
      <c r="I18" s="52"/>
      <c r="J18" s="53"/>
    </row>
    <row x14ac:dyDescent="0.25" r="19" customHeight="1" ht="18">
      <c r="A19" s="50"/>
      <c r="B19" s="45"/>
      <c r="C19" s="51"/>
      <c r="D19" s="50"/>
      <c r="E19" s="50"/>
      <c r="F19" s="51"/>
      <c r="G19" s="45"/>
      <c r="H19" s="50"/>
      <c r="I19" s="52"/>
      <c r="J19" s="53"/>
    </row>
    <row x14ac:dyDescent="0.25" r="20" customHeight="1" ht="18">
      <c r="A20" s="50"/>
      <c r="B20" s="45"/>
      <c r="C20" s="51"/>
      <c r="D20" s="50"/>
      <c r="E20" s="50"/>
      <c r="F20" s="51"/>
      <c r="G20" s="45"/>
      <c r="H20" s="50"/>
      <c r="I20" s="52"/>
      <c r="J20" s="53"/>
    </row>
    <row x14ac:dyDescent="0.25" r="21" customHeight="1" ht="18">
      <c r="A21" s="50"/>
      <c r="B21" s="45"/>
      <c r="C21" s="51"/>
      <c r="D21" s="50"/>
      <c r="E21" s="50"/>
      <c r="F21" s="51"/>
      <c r="G21" s="45"/>
      <c r="H21" s="50"/>
      <c r="I21" s="52"/>
      <c r="J21" s="53"/>
    </row>
    <row x14ac:dyDescent="0.25" r="22" customHeight="1" ht="18">
      <c r="A22" s="50"/>
      <c r="B22" s="45"/>
      <c r="C22" s="51"/>
      <c r="D22" s="50"/>
      <c r="E22" s="50"/>
      <c r="F22" s="51"/>
      <c r="G22" s="45"/>
      <c r="H22" s="50"/>
      <c r="I22" s="52"/>
      <c r="J22" s="53"/>
    </row>
    <row x14ac:dyDescent="0.25" r="23" customHeight="1" ht="18">
      <c r="A23" s="50"/>
      <c r="B23" s="45"/>
      <c r="C23" s="51"/>
      <c r="D23" s="50"/>
      <c r="E23" s="50"/>
      <c r="F23" s="51"/>
      <c r="G23" s="45"/>
      <c r="H23" s="50"/>
      <c r="I23" s="52"/>
      <c r="J23" s="53"/>
    </row>
    <row x14ac:dyDescent="0.25" r="24" customHeight="1" ht="18">
      <c r="A24" s="50"/>
      <c r="B24" s="45"/>
      <c r="C24" s="51"/>
      <c r="D24" s="50"/>
      <c r="E24" s="50"/>
      <c r="F24" s="51"/>
      <c r="G24" s="45"/>
      <c r="H24" s="50"/>
      <c r="I24" s="52"/>
      <c r="J24" s="53"/>
    </row>
    <row x14ac:dyDescent="0.25" r="25" customHeight="1" ht="18">
      <c r="A25" s="50"/>
      <c r="B25" s="45"/>
      <c r="C25" s="51"/>
      <c r="D25" s="50"/>
      <c r="E25" s="50"/>
      <c r="F25" s="51"/>
      <c r="G25" s="45"/>
      <c r="H25" s="50"/>
      <c r="I25" s="52"/>
      <c r="J25" s="53"/>
    </row>
    <row x14ac:dyDescent="0.25" r="26" customHeight="1" ht="18">
      <c r="A26" s="50"/>
      <c r="B26" s="45"/>
      <c r="C26" s="51"/>
      <c r="D26" s="50"/>
      <c r="E26" s="50"/>
      <c r="F26" s="51"/>
      <c r="G26" s="45"/>
      <c r="H26" s="50"/>
      <c r="I26" s="52"/>
      <c r="J26" s="53"/>
    </row>
    <row x14ac:dyDescent="0.25" r="27" customHeight="1" ht="18">
      <c r="A27" s="50"/>
      <c r="B27" s="45"/>
      <c r="C27" s="51"/>
      <c r="D27" s="50"/>
      <c r="E27" s="50"/>
      <c r="F27" s="51"/>
      <c r="G27" s="45"/>
      <c r="H27" s="50"/>
      <c r="I27" s="52"/>
      <c r="J27" s="53"/>
    </row>
    <row x14ac:dyDescent="0.25" r="28" customHeight="1" ht="18">
      <c r="A28" s="50"/>
      <c r="B28" s="45"/>
      <c r="C28" s="51"/>
      <c r="D28" s="50"/>
      <c r="E28" s="50"/>
      <c r="F28" s="51"/>
      <c r="G28" s="45"/>
      <c r="H28" s="50"/>
      <c r="I28" s="52"/>
      <c r="J28" s="53"/>
    </row>
    <row x14ac:dyDescent="0.25" r="29" customHeight="1" ht="18">
      <c r="A29" s="50"/>
      <c r="B29" s="45"/>
      <c r="C29" s="51"/>
      <c r="D29" s="50"/>
      <c r="E29" s="50"/>
      <c r="F29" s="51"/>
      <c r="G29" s="45"/>
      <c r="H29" s="50"/>
      <c r="I29" s="52"/>
      <c r="J29" s="53"/>
    </row>
    <row x14ac:dyDescent="0.25" r="30" customHeight="1" ht="18">
      <c r="A30" s="50"/>
      <c r="B30" s="45"/>
      <c r="C30" s="51"/>
      <c r="D30" s="50"/>
      <c r="E30" s="50"/>
      <c r="F30" s="51"/>
      <c r="G30" s="45"/>
      <c r="H30" s="50"/>
      <c r="I30" s="52"/>
      <c r="J30" s="53"/>
    </row>
    <row x14ac:dyDescent="0.25" r="31" customHeight="1" ht="18">
      <c r="A31" s="50"/>
      <c r="B31" s="45"/>
      <c r="C31" s="51"/>
      <c r="D31" s="50"/>
      <c r="E31" s="50"/>
      <c r="F31" s="51"/>
      <c r="G31" s="45"/>
      <c r="H31" s="50"/>
      <c r="I31" s="52"/>
      <c r="J31" s="53"/>
    </row>
    <row x14ac:dyDescent="0.25" r="32" customHeight="1" ht="18">
      <c r="A32" s="50"/>
      <c r="B32" s="45"/>
      <c r="C32" s="51"/>
      <c r="D32" s="50"/>
      <c r="E32" s="50"/>
      <c r="F32" s="51"/>
      <c r="G32" s="45"/>
      <c r="H32" s="50"/>
      <c r="I32" s="52"/>
      <c r="J32" s="53"/>
    </row>
    <row x14ac:dyDescent="0.25" r="33" customHeight="1" ht="18">
      <c r="A33" s="50"/>
      <c r="B33" s="45"/>
      <c r="C33" s="51"/>
      <c r="D33" s="50"/>
      <c r="E33" s="50"/>
      <c r="F33" s="51"/>
      <c r="G33" s="45"/>
      <c r="H33" s="50"/>
      <c r="I33" s="52"/>
      <c r="J33" s="53"/>
    </row>
    <row x14ac:dyDescent="0.25" r="34" customHeight="1" ht="18">
      <c r="A34" s="50"/>
      <c r="B34" s="45"/>
      <c r="C34" s="51"/>
      <c r="D34" s="50"/>
      <c r="E34" s="50"/>
      <c r="F34" s="51"/>
      <c r="G34" s="45"/>
      <c r="H34" s="50"/>
      <c r="I34" s="52"/>
      <c r="J34" s="53"/>
    </row>
    <row x14ac:dyDescent="0.25" r="35" customHeight="1" ht="18">
      <c r="A35" s="50"/>
      <c r="B35" s="45"/>
      <c r="C35" s="51"/>
      <c r="D35" s="50"/>
      <c r="E35" s="50"/>
      <c r="F35" s="51"/>
      <c r="G35" s="45"/>
      <c r="H35" s="50"/>
      <c r="I35" s="52"/>
      <c r="J35" s="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9"/>
  <sheetViews>
    <sheetView workbookViewId="0"/>
  </sheetViews>
  <sheetFormatPr defaultRowHeight="15" x14ac:dyDescent="0.25"/>
  <cols>
    <col min="1" max="1" style="5" width="25.005" customWidth="1" bestFit="1"/>
    <col min="2" max="2" style="7" width="10.43357142857143" customWidth="1" bestFit="1"/>
    <col min="3" max="3" style="7" width="10.43357142857143" customWidth="1" bestFit="1"/>
    <col min="4" max="4" style="38" width="10.43357142857143" customWidth="1" bestFit="1"/>
    <col min="5" max="5" style="38" width="10.43357142857143" customWidth="1" bestFit="1"/>
    <col min="6" max="6" style="38" width="10.43357142857143" customWidth="1" bestFit="1"/>
    <col min="7" max="7" style="38" width="10.43357142857143" customWidth="1" bestFit="1"/>
    <col min="8" max="8" style="38" width="10.43357142857143" customWidth="1" bestFit="1"/>
    <col min="9" max="9" style="38" width="10.43357142857143" customWidth="1" bestFit="1"/>
    <col min="10" max="10" style="38" width="10.862142857142858" customWidth="1" bestFit="1"/>
    <col min="11" max="11" style="7" width="13.005" customWidth="1" bestFit="1"/>
    <col min="12" max="12" style="7" width="13.005" customWidth="1" bestFit="1"/>
    <col min="13" max="13" style="7" width="13.005" customWidth="1" bestFit="1"/>
  </cols>
  <sheetData>
    <row x14ac:dyDescent="0.25" r="1" customHeight="1" ht="18">
      <c r="A1" s="22" t="s">
        <v>898</v>
      </c>
      <c r="B1" s="23" t="s">
        <v>899</v>
      </c>
      <c r="C1" s="24">
        <v>2024</v>
      </c>
      <c r="D1" s="24">
        <v>2025</v>
      </c>
      <c r="E1" s="24">
        <v>2026</v>
      </c>
      <c r="F1" s="24">
        <v>2027</v>
      </c>
      <c r="G1" s="24">
        <v>2028</v>
      </c>
      <c r="H1" s="24">
        <v>2029</v>
      </c>
      <c r="I1" s="24">
        <v>2030</v>
      </c>
      <c r="J1" s="24">
        <v>2031</v>
      </c>
      <c r="K1" s="24">
        <v>2032</v>
      </c>
      <c r="L1" s="24">
        <v>2033</v>
      </c>
      <c r="M1" s="24">
        <v>2034</v>
      </c>
    </row>
    <row x14ac:dyDescent="0.25" r="2" customHeight="1" ht="17.1">
      <c r="A2" s="25" t="s">
        <v>900</v>
      </c>
      <c r="B2" s="26">
        <v>275</v>
      </c>
      <c r="C2" s="27">
        <v>0</v>
      </c>
      <c r="D2" s="27">
        <v>0</v>
      </c>
      <c r="E2" s="27">
        <v>0</v>
      </c>
      <c r="F2" s="27">
        <v>0</v>
      </c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</row>
    <row x14ac:dyDescent="0.25" r="3" customHeight="1" ht="18">
      <c r="A3" s="25" t="s">
        <v>901</v>
      </c>
      <c r="B3" s="26">
        <v>275</v>
      </c>
      <c r="C3" s="27">
        <v>38859</v>
      </c>
      <c r="D3" s="28">
        <v>39785</v>
      </c>
      <c r="E3" s="28">
        <v>48648</v>
      </c>
      <c r="F3" s="27">
        <v>50580</v>
      </c>
      <c r="G3" s="27">
        <v>51500</v>
      </c>
      <c r="H3" s="27">
        <v>50047</v>
      </c>
      <c r="I3" s="27">
        <v>47748</v>
      </c>
      <c r="J3" s="27">
        <v>37021</v>
      </c>
      <c r="K3" s="27">
        <v>31364</v>
      </c>
      <c r="L3" s="27">
        <v>0</v>
      </c>
      <c r="M3" s="27">
        <v>0</v>
      </c>
    </row>
    <row x14ac:dyDescent="0.25" r="4" customHeight="1" ht="18">
      <c r="A4" s="25" t="s">
        <v>902</v>
      </c>
      <c r="B4" s="26">
        <v>275</v>
      </c>
      <c r="C4" s="27">
        <v>3400</v>
      </c>
      <c r="D4" s="28">
        <v>8112</v>
      </c>
      <c r="E4" s="28">
        <v>8499</v>
      </c>
      <c r="F4" s="27">
        <v>9989</v>
      </c>
      <c r="G4" s="27">
        <v>9989</v>
      </c>
      <c r="H4" s="27">
        <v>9989</v>
      </c>
      <c r="I4" s="27">
        <v>9989</v>
      </c>
      <c r="J4" s="27">
        <v>9989</v>
      </c>
      <c r="K4" s="27">
        <v>9989</v>
      </c>
      <c r="L4" s="27">
        <v>0</v>
      </c>
      <c r="M4" s="27">
        <v>0</v>
      </c>
    </row>
    <row x14ac:dyDescent="0.25" r="5" customHeight="1" ht="18">
      <c r="A5" s="25" t="s">
        <v>903</v>
      </c>
      <c r="B5" s="26">
        <v>275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</row>
    <row x14ac:dyDescent="0.25" r="6" customHeight="1" ht="18">
      <c r="A6" s="25" t="s">
        <v>904</v>
      </c>
      <c r="B6" s="26">
        <v>275</v>
      </c>
      <c r="C6" s="27">
        <v>47199</v>
      </c>
      <c r="D6" s="28">
        <v>64397</v>
      </c>
      <c r="E6" s="28">
        <v>53029</v>
      </c>
      <c r="F6" s="27">
        <v>72989</v>
      </c>
      <c r="G6" s="27">
        <v>76011</v>
      </c>
      <c r="H6" s="27">
        <v>77700</v>
      </c>
      <c r="I6" s="27">
        <v>77133</v>
      </c>
      <c r="J6" s="27">
        <v>81265</v>
      </c>
      <c r="K6" s="27">
        <v>84855</v>
      </c>
      <c r="L6" s="27">
        <v>22252</v>
      </c>
      <c r="M6" s="27">
        <v>25800</v>
      </c>
    </row>
    <row x14ac:dyDescent="0.25" r="7" customHeight="1" ht="18">
      <c r="A7" s="25" t="s">
        <v>905</v>
      </c>
      <c r="B7" s="26">
        <v>275</v>
      </c>
      <c r="C7" s="27">
        <v>2307</v>
      </c>
      <c r="D7" s="28">
        <v>3254</v>
      </c>
      <c r="E7" s="28">
        <v>1400</v>
      </c>
      <c r="F7" s="27">
        <v>1400</v>
      </c>
      <c r="G7" s="27">
        <v>1500</v>
      </c>
      <c r="H7" s="27">
        <v>1600</v>
      </c>
      <c r="I7" s="27">
        <v>1700</v>
      </c>
      <c r="J7" s="27">
        <v>1760</v>
      </c>
      <c r="K7" s="27">
        <v>1840</v>
      </c>
      <c r="L7" s="27">
        <v>0</v>
      </c>
      <c r="M7" s="27">
        <v>0</v>
      </c>
    </row>
    <row x14ac:dyDescent="0.25" r="8" customHeight="1" ht="18">
      <c r="A8" s="25" t="s">
        <v>906</v>
      </c>
      <c r="B8" s="26">
        <v>275</v>
      </c>
      <c r="C8" s="29">
        <v>0</v>
      </c>
      <c r="D8" s="28">
        <v>357</v>
      </c>
      <c r="E8" s="28">
        <v>500</v>
      </c>
      <c r="F8" s="29">
        <v>500</v>
      </c>
      <c r="G8" s="29">
        <v>100</v>
      </c>
      <c r="H8" s="29">
        <v>100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</row>
    <row x14ac:dyDescent="0.25" r="9" customHeight="1" ht="18">
      <c r="A9" s="25" t="s">
        <v>907</v>
      </c>
      <c r="B9" s="26">
        <v>275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x14ac:dyDescent="0.25" r="10" customHeight="1" ht="18">
      <c r="A10" s="25" t="s">
        <v>908</v>
      </c>
      <c r="B10" s="26">
        <v>275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</row>
    <row x14ac:dyDescent="0.25" r="11" customHeight="1" ht="18">
      <c r="A11" s="25" t="s">
        <v>909</v>
      </c>
      <c r="B11" s="26">
        <v>275</v>
      </c>
      <c r="C11" s="4">
        <v>91765</v>
      </c>
      <c r="D11" s="4">
        <v>115905</v>
      </c>
      <c r="E11" s="4">
        <v>112076</v>
      </c>
      <c r="F11" s="4">
        <v>135458</v>
      </c>
      <c r="G11" s="4">
        <v>139100</v>
      </c>
      <c r="H11" s="4">
        <v>139436</v>
      </c>
      <c r="I11" s="4">
        <v>136570</v>
      </c>
      <c r="J11" s="4">
        <v>130035</v>
      </c>
      <c r="K11" s="4">
        <v>128048</v>
      </c>
      <c r="L11" s="4">
        <v>22252</v>
      </c>
      <c r="M11" s="4">
        <v>25800</v>
      </c>
    </row>
    <row x14ac:dyDescent="0.25" r="12" customHeight="1" ht="18">
      <c r="A12" s="25" t="s">
        <v>910</v>
      </c>
      <c r="B12" s="26">
        <v>275</v>
      </c>
      <c r="C12" s="30">
        <v>328749</v>
      </c>
      <c r="D12" s="28">
        <v>242907</v>
      </c>
      <c r="E12" s="28">
        <v>144705</v>
      </c>
      <c r="F12" s="30">
        <v>170525</v>
      </c>
      <c r="G12" s="30">
        <v>124840</v>
      </c>
      <c r="H12" s="30">
        <v>123889</v>
      </c>
      <c r="I12" s="30">
        <v>10000</v>
      </c>
      <c r="J12" s="30">
        <v>0</v>
      </c>
      <c r="K12" s="30">
        <v>0</v>
      </c>
      <c r="L12" s="30">
        <v>0</v>
      </c>
      <c r="M12" s="30">
        <v>0</v>
      </c>
    </row>
    <row x14ac:dyDescent="0.25" r="13" customHeight="1" ht="18">
      <c r="A13" s="25" t="s">
        <v>911</v>
      </c>
      <c r="B13" s="26">
        <v>275</v>
      </c>
      <c r="C13" s="31">
        <v>0</v>
      </c>
      <c r="D13" s="28">
        <v>234232</v>
      </c>
      <c r="E13" s="28">
        <v>153961</v>
      </c>
      <c r="F13" s="31">
        <v>154562</v>
      </c>
      <c r="G13" s="31">
        <v>145974</v>
      </c>
      <c r="H13" s="31">
        <v>143113</v>
      </c>
      <c r="I13" s="31">
        <v>151699</v>
      </c>
      <c r="J13" s="31">
        <v>152709</v>
      </c>
      <c r="K13" s="31">
        <v>152709</v>
      </c>
      <c r="L13" s="31">
        <v>152709</v>
      </c>
      <c r="M13" s="31">
        <v>0</v>
      </c>
    </row>
    <row x14ac:dyDescent="0.25" r="14" customHeight="1" ht="18">
      <c r="A14" s="25" t="s">
        <v>912</v>
      </c>
      <c r="B14" s="26">
        <v>275</v>
      </c>
      <c r="C14" s="31">
        <v>167873</v>
      </c>
      <c r="D14" s="28">
        <v>289489</v>
      </c>
      <c r="E14" s="28">
        <v>245581</v>
      </c>
      <c r="F14" s="31">
        <v>200002</v>
      </c>
      <c r="G14" s="31">
        <v>179849</v>
      </c>
      <c r="H14" s="31">
        <v>166425</v>
      </c>
      <c r="I14" s="31">
        <v>166425</v>
      </c>
      <c r="J14" s="31">
        <v>166425</v>
      </c>
      <c r="K14" s="31">
        <v>166425</v>
      </c>
      <c r="L14" s="31">
        <v>166425</v>
      </c>
      <c r="M14" s="31">
        <v>0</v>
      </c>
    </row>
    <row x14ac:dyDescent="0.25" r="15" customHeight="1" ht="18">
      <c r="A15" s="25" t="s">
        <v>913</v>
      </c>
      <c r="B15" s="26">
        <v>275</v>
      </c>
      <c r="C15" s="31">
        <v>0</v>
      </c>
      <c r="D15" s="28">
        <v>20000</v>
      </c>
      <c r="E15" s="28">
        <v>110500</v>
      </c>
      <c r="F15" s="31">
        <v>99026</v>
      </c>
      <c r="G15" s="31">
        <v>98026</v>
      </c>
      <c r="H15" s="31">
        <v>98026</v>
      </c>
      <c r="I15" s="31">
        <v>97026</v>
      </c>
      <c r="J15" s="31">
        <v>129282</v>
      </c>
      <c r="K15" s="31">
        <v>129282</v>
      </c>
      <c r="L15" s="31">
        <v>129282</v>
      </c>
      <c r="M15" s="31">
        <v>0</v>
      </c>
    </row>
    <row x14ac:dyDescent="0.25" r="16" customHeight="1" ht="18">
      <c r="A16" s="25" t="s">
        <v>914</v>
      </c>
      <c r="B16" s="26">
        <v>275</v>
      </c>
      <c r="C16" s="31">
        <v>0</v>
      </c>
      <c r="D16" s="28">
        <v>998</v>
      </c>
      <c r="E16" s="28">
        <v>1658</v>
      </c>
      <c r="F16" s="31">
        <v>3540</v>
      </c>
      <c r="G16" s="31">
        <v>4421</v>
      </c>
      <c r="H16" s="31">
        <v>4740</v>
      </c>
      <c r="I16" s="31">
        <v>1335</v>
      </c>
      <c r="J16" s="31">
        <v>832</v>
      </c>
      <c r="K16" s="31">
        <v>0</v>
      </c>
      <c r="L16" s="31">
        <v>0</v>
      </c>
      <c r="M16" s="31">
        <v>0</v>
      </c>
    </row>
    <row x14ac:dyDescent="0.25" r="17" customHeight="1" ht="18">
      <c r="A17" s="25" t="s">
        <v>915</v>
      </c>
      <c r="B17" s="26">
        <v>275</v>
      </c>
      <c r="C17" s="31">
        <v>167873</v>
      </c>
      <c r="D17" s="31">
        <v>347362</v>
      </c>
      <c r="E17" s="31">
        <v>512258</v>
      </c>
      <c r="F17" s="31">
        <v>457130</v>
      </c>
      <c r="G17" s="31">
        <v>428270</v>
      </c>
      <c r="H17" s="31">
        <v>412304</v>
      </c>
      <c r="I17" s="31">
        <v>416485</v>
      </c>
      <c r="J17" s="31">
        <v>449248</v>
      </c>
      <c r="K17" s="31">
        <v>448416</v>
      </c>
      <c r="L17" s="31">
        <v>448416</v>
      </c>
      <c r="M17" s="31">
        <v>0</v>
      </c>
    </row>
    <row x14ac:dyDescent="0.25" r="18" customHeight="1" ht="18">
      <c r="A18" s="25" t="s">
        <v>916</v>
      </c>
      <c r="B18" s="26">
        <v>275</v>
      </c>
      <c r="C18" s="32">
        <v>32597</v>
      </c>
      <c r="D18" s="28">
        <v>12566</v>
      </c>
      <c r="E18" s="28">
        <v>10225</v>
      </c>
      <c r="F18" s="32">
        <v>13301</v>
      </c>
      <c r="G18" s="32">
        <v>13301</v>
      </c>
      <c r="H18" s="32">
        <v>13301</v>
      </c>
      <c r="I18" s="32">
        <v>14736</v>
      </c>
      <c r="J18" s="32">
        <v>0</v>
      </c>
      <c r="K18" s="32">
        <v>0</v>
      </c>
      <c r="L18" s="32">
        <v>0</v>
      </c>
      <c r="M18" s="32">
        <v>0</v>
      </c>
    </row>
    <row x14ac:dyDescent="0.25" r="19" customHeight="1" ht="18">
      <c r="A19" s="25" t="s">
        <v>917</v>
      </c>
      <c r="B19" s="26">
        <v>275</v>
      </c>
      <c r="C19" s="32">
        <v>300894</v>
      </c>
      <c r="D19" s="28">
        <v>249959</v>
      </c>
      <c r="E19" s="28">
        <v>271160</v>
      </c>
      <c r="F19" s="32">
        <v>247000</v>
      </c>
      <c r="G19" s="32">
        <v>256500</v>
      </c>
      <c r="H19" s="32">
        <v>266000</v>
      </c>
      <c r="I19" s="32">
        <v>280249</v>
      </c>
      <c r="J19" s="32">
        <v>0</v>
      </c>
      <c r="K19" s="32">
        <v>0</v>
      </c>
      <c r="L19" s="32">
        <v>0</v>
      </c>
      <c r="M19" s="32">
        <v>0</v>
      </c>
    </row>
    <row x14ac:dyDescent="0.25" r="20" customHeight="1" ht="18">
      <c r="A20" s="25" t="s">
        <v>918</v>
      </c>
      <c r="B20" s="26">
        <v>275</v>
      </c>
      <c r="C20" s="32">
        <v>333491</v>
      </c>
      <c r="D20" s="32">
        <v>262525</v>
      </c>
      <c r="E20" s="32">
        <v>281385</v>
      </c>
      <c r="F20" s="32">
        <v>260301</v>
      </c>
      <c r="G20" s="32">
        <v>269801</v>
      </c>
      <c r="H20" s="32">
        <v>279301</v>
      </c>
      <c r="I20" s="32">
        <v>294985</v>
      </c>
      <c r="J20" s="32">
        <v>0</v>
      </c>
      <c r="K20" s="32">
        <v>0</v>
      </c>
      <c r="L20" s="32">
        <v>0</v>
      </c>
      <c r="M20" s="32">
        <v>0</v>
      </c>
    </row>
    <row x14ac:dyDescent="0.25" r="21" customHeight="1" ht="18">
      <c r="A21" s="25" t="s">
        <v>919</v>
      </c>
      <c r="B21" s="26">
        <v>275</v>
      </c>
      <c r="C21" s="30">
        <v>606373</v>
      </c>
      <c r="D21" s="28">
        <v>862740</v>
      </c>
      <c r="E21" s="28">
        <v>425907</v>
      </c>
      <c r="F21" s="30">
        <v>438666</v>
      </c>
      <c r="G21" s="30">
        <v>443377</v>
      </c>
      <c r="H21" s="30">
        <v>429734</v>
      </c>
      <c r="I21" s="30">
        <v>361489</v>
      </c>
      <c r="J21" s="30">
        <v>323998</v>
      </c>
      <c r="K21" s="30">
        <v>348178</v>
      </c>
      <c r="L21" s="30">
        <v>347660</v>
      </c>
      <c r="M21" s="30">
        <v>276034</v>
      </c>
    </row>
    <row x14ac:dyDescent="0.25" r="22" customHeight="1" ht="18">
      <c r="A22" s="25" t="s">
        <v>920</v>
      </c>
      <c r="B22" s="26">
        <v>275</v>
      </c>
      <c r="C22" s="30">
        <v>606373</v>
      </c>
      <c r="D22" s="28">
        <v>360670</v>
      </c>
      <c r="E22" s="28">
        <v>328267</v>
      </c>
      <c r="F22" s="30">
        <v>338969</v>
      </c>
      <c r="G22" s="30">
        <v>279761</v>
      </c>
      <c r="H22" s="30">
        <v>243576</v>
      </c>
      <c r="I22" s="30">
        <v>300945</v>
      </c>
      <c r="J22" s="30">
        <v>235577</v>
      </c>
      <c r="K22" s="30">
        <v>233173</v>
      </c>
      <c r="L22" s="30">
        <v>224300</v>
      </c>
      <c r="M22" s="30">
        <v>116830</v>
      </c>
    </row>
    <row x14ac:dyDescent="0.25" r="23" customHeight="1" ht="18">
      <c r="A23" s="25" t="s">
        <v>921</v>
      </c>
      <c r="B23" s="26">
        <v>275</v>
      </c>
      <c r="C23" s="4">
        <v>53561</v>
      </c>
      <c r="D23" s="28">
        <v>34410</v>
      </c>
      <c r="E23" s="28">
        <v>56065</v>
      </c>
      <c r="F23" s="4">
        <v>164525</v>
      </c>
      <c r="G23" s="4">
        <v>167438</v>
      </c>
      <c r="H23" s="4">
        <v>178742</v>
      </c>
      <c r="I23" s="4">
        <v>217433</v>
      </c>
      <c r="J23" s="4">
        <v>290000</v>
      </c>
      <c r="K23" s="4">
        <v>380000</v>
      </c>
      <c r="L23" s="4">
        <v>540000</v>
      </c>
      <c r="M23" s="4">
        <v>400000</v>
      </c>
    </row>
    <row x14ac:dyDescent="0.25" r="24" customHeight="1" ht="18">
      <c r="A24" s="25" t="s">
        <v>922</v>
      </c>
      <c r="B24" s="26">
        <v>275</v>
      </c>
      <c r="C24" s="4">
        <v>0</v>
      </c>
      <c r="D24" s="4">
        <v>0</v>
      </c>
      <c r="E24" s="4">
        <v>0</v>
      </c>
      <c r="F24" s="4">
        <v>2544</v>
      </c>
      <c r="G24" s="4">
        <v>13798</v>
      </c>
      <c r="H24" s="4">
        <v>33244</v>
      </c>
      <c r="I24" s="4">
        <v>16760</v>
      </c>
      <c r="J24" s="4">
        <v>26600</v>
      </c>
      <c r="K24" s="4">
        <v>32400</v>
      </c>
      <c r="L24" s="4">
        <v>54000</v>
      </c>
      <c r="M24" s="4">
        <v>43000</v>
      </c>
    </row>
    <row x14ac:dyDescent="0.25" r="25" customHeight="1" ht="18">
      <c r="A25" s="25" t="s">
        <v>923</v>
      </c>
      <c r="B25" s="26">
        <v>275</v>
      </c>
      <c r="C25" s="33">
        <v>0</v>
      </c>
      <c r="D25" s="33">
        <v>0</v>
      </c>
      <c r="E25" s="33">
        <v>17200</v>
      </c>
      <c r="F25" s="33">
        <v>30000</v>
      </c>
      <c r="G25" s="33">
        <v>30000</v>
      </c>
      <c r="H25" s="33">
        <v>30000</v>
      </c>
      <c r="I25" s="33">
        <v>12396</v>
      </c>
      <c r="J25" s="33">
        <v>25000</v>
      </c>
      <c r="K25" s="33">
        <v>40000</v>
      </c>
      <c r="L25" s="33">
        <v>68000</v>
      </c>
      <c r="M25" s="33">
        <v>50000</v>
      </c>
    </row>
    <row x14ac:dyDescent="0.25" r="26" customHeight="1" ht="18">
      <c r="A26" s="34" t="s">
        <v>924</v>
      </c>
      <c r="B26" s="26">
        <v>275</v>
      </c>
      <c r="C26" s="4">
        <v>0</v>
      </c>
      <c r="D26" s="4">
        <v>4405</v>
      </c>
      <c r="E26" s="4">
        <v>5385</v>
      </c>
      <c r="F26" s="4">
        <v>5120</v>
      </c>
      <c r="G26" s="4">
        <v>4868</v>
      </c>
      <c r="H26" s="4">
        <v>4628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x14ac:dyDescent="0.25" r="27" customHeight="1" ht="18">
      <c r="A27" s="34" t="s">
        <v>925</v>
      </c>
      <c r="B27" s="26">
        <v>275</v>
      </c>
      <c r="C27" s="4">
        <v>0</v>
      </c>
      <c r="D27" s="4">
        <v>97034</v>
      </c>
      <c r="E27" s="4">
        <v>95000</v>
      </c>
      <c r="F27" s="4">
        <v>100522</v>
      </c>
      <c r="G27" s="4">
        <v>95000</v>
      </c>
      <c r="H27" s="4">
        <v>95000</v>
      </c>
      <c r="I27" s="4">
        <v>95000</v>
      </c>
      <c r="J27" s="4">
        <v>95000</v>
      </c>
      <c r="K27" s="4">
        <v>71250</v>
      </c>
      <c r="L27" s="4">
        <v>0</v>
      </c>
      <c r="M27" s="4">
        <v>0</v>
      </c>
    </row>
    <row x14ac:dyDescent="0.25" r="28" customHeight="1" ht="18">
      <c r="A28" s="34" t="s">
        <v>926</v>
      </c>
      <c r="B28" s="26">
        <v>275</v>
      </c>
      <c r="C28" s="4">
        <v>0</v>
      </c>
      <c r="D28" s="4">
        <v>11030</v>
      </c>
      <c r="E28" s="4">
        <v>15000</v>
      </c>
      <c r="F28" s="4">
        <v>15012</v>
      </c>
      <c r="G28" s="4">
        <v>15000</v>
      </c>
      <c r="H28" s="4">
        <v>15000</v>
      </c>
      <c r="I28" s="4">
        <v>15000</v>
      </c>
      <c r="J28" s="4">
        <v>15000</v>
      </c>
      <c r="K28" s="4">
        <v>11256</v>
      </c>
      <c r="L28" s="4">
        <v>0</v>
      </c>
      <c r="M28" s="4">
        <v>0</v>
      </c>
    </row>
    <row x14ac:dyDescent="0.25" r="29" customHeight="1" ht="18">
      <c r="A29" s="25" t="s">
        <v>927</v>
      </c>
      <c r="B29" s="26">
        <v>275</v>
      </c>
      <c r="C29" s="4">
        <v>0</v>
      </c>
      <c r="D29" s="4">
        <v>4068</v>
      </c>
      <c r="E29" s="4">
        <v>3848</v>
      </c>
      <c r="F29" s="4">
        <v>3348</v>
      </c>
      <c r="G29" s="4">
        <v>3348</v>
      </c>
      <c r="H29" s="4">
        <v>3348</v>
      </c>
      <c r="I29" s="4">
        <v>3348</v>
      </c>
      <c r="J29" s="4">
        <v>3098</v>
      </c>
      <c r="K29" s="4">
        <v>2598</v>
      </c>
      <c r="L29" s="4">
        <v>2598</v>
      </c>
      <c r="M29" s="4">
        <v>1798</v>
      </c>
    </row>
    <row x14ac:dyDescent="0.25" r="30" customHeight="1" ht="18">
      <c r="A30" s="25" t="s">
        <v>928</v>
      </c>
      <c r="B30" s="26">
        <v>275</v>
      </c>
      <c r="C30" s="4">
        <v>0</v>
      </c>
      <c r="D30" s="4">
        <v>37351</v>
      </c>
      <c r="E30" s="4">
        <v>58752</v>
      </c>
      <c r="F30" s="4">
        <v>58752</v>
      </c>
      <c r="G30" s="4">
        <v>58752</v>
      </c>
      <c r="H30" s="4">
        <v>29376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</row>
    <row x14ac:dyDescent="0.25" r="31" customHeight="1" ht="18">
      <c r="A31" s="1" t="s">
        <v>929</v>
      </c>
      <c r="B31" s="26">
        <v>275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x14ac:dyDescent="0.25" r="32" customHeight="1" ht="18">
      <c r="A32" s="1" t="s">
        <v>930</v>
      </c>
      <c r="B32" s="26">
        <v>275</v>
      </c>
      <c r="C32" s="4">
        <v>0</v>
      </c>
      <c r="D32" s="4">
        <v>268</v>
      </c>
      <c r="E32" s="4">
        <v>350</v>
      </c>
      <c r="F32" s="4">
        <v>350</v>
      </c>
      <c r="G32" s="4">
        <v>350</v>
      </c>
      <c r="H32" s="4">
        <v>350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x14ac:dyDescent="0.25" r="33" customHeight="1" ht="18">
      <c r="A33" s="1" t="s">
        <v>931</v>
      </c>
      <c r="B33" s="26">
        <v>275</v>
      </c>
      <c r="C33" s="4">
        <v>0</v>
      </c>
      <c r="D33" s="4">
        <v>105</v>
      </c>
      <c r="E33" s="4">
        <v>350</v>
      </c>
      <c r="F33" s="4">
        <v>350</v>
      </c>
      <c r="G33" s="4">
        <v>350</v>
      </c>
      <c r="H33" s="4">
        <v>350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x14ac:dyDescent="0.25" r="34" customHeight="1" ht="18">
      <c r="A34" s="1" t="s">
        <v>932</v>
      </c>
      <c r="B34" s="26">
        <v>275</v>
      </c>
      <c r="C34" s="4">
        <v>0</v>
      </c>
      <c r="D34" s="4">
        <v>5262</v>
      </c>
      <c r="E34" s="4">
        <v>500</v>
      </c>
      <c r="F34" s="4">
        <v>400</v>
      </c>
      <c r="G34" s="4">
        <v>400</v>
      </c>
      <c r="H34" s="4">
        <v>400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x14ac:dyDescent="0.25" r="35" customHeight="1" ht="18">
      <c r="A35" s="1" t="s">
        <v>933</v>
      </c>
      <c r="B35" s="26">
        <v>275</v>
      </c>
      <c r="C35" s="4">
        <v>0</v>
      </c>
      <c r="D35" s="4">
        <v>180</v>
      </c>
      <c r="E35" s="4">
        <v>450</v>
      </c>
      <c r="F35" s="4">
        <v>450</v>
      </c>
      <c r="G35" s="4">
        <v>250</v>
      </c>
      <c r="H35" s="4">
        <v>250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x14ac:dyDescent="0.25" r="36" customHeight="1" ht="18">
      <c r="A36" s="1" t="s">
        <v>934</v>
      </c>
      <c r="B36" s="26">
        <v>275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x14ac:dyDescent="0.25" r="37" customHeight="1" ht="18">
      <c r="A37" s="1" t="s">
        <v>935</v>
      </c>
      <c r="B37" s="26">
        <v>275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x14ac:dyDescent="0.25" r="38" customHeight="1" ht="18">
      <c r="A38" s="1" t="s">
        <v>936</v>
      </c>
      <c r="B38" s="26">
        <v>275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65155</v>
      </c>
      <c r="I38" s="4">
        <v>92847</v>
      </c>
      <c r="J38" s="4">
        <v>99790</v>
      </c>
      <c r="K38" s="4">
        <v>153477</v>
      </c>
      <c r="L38" s="4">
        <v>165821</v>
      </c>
      <c r="M38" s="4">
        <v>181271</v>
      </c>
    </row>
    <row x14ac:dyDescent="0.25" r="39" customHeight="1" ht="18">
      <c r="A39" s="1" t="s">
        <v>937</v>
      </c>
      <c r="B39" s="26">
        <v>275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5000</v>
      </c>
      <c r="K39" s="4">
        <v>20000</v>
      </c>
      <c r="L39" s="4">
        <v>40000</v>
      </c>
      <c r="M39" s="4">
        <v>75000</v>
      </c>
    </row>
    <row x14ac:dyDescent="0.25" r="40" customHeight="1" ht="18">
      <c r="A40" s="1" t="s">
        <v>938</v>
      </c>
      <c r="B40" s="26">
        <v>275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</row>
    <row x14ac:dyDescent="0.25" r="41" customHeight="1" ht="18">
      <c r="A41" s="1" t="s">
        <v>939</v>
      </c>
      <c r="B41" s="26">
        <v>275</v>
      </c>
      <c r="C41" s="4">
        <v>0</v>
      </c>
      <c r="D41" s="4">
        <v>940</v>
      </c>
      <c r="E41" s="4">
        <v>940</v>
      </c>
      <c r="F41" s="4">
        <v>940</v>
      </c>
      <c r="G41" s="4">
        <v>940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x14ac:dyDescent="0.25" r="42" customHeight="1" ht="18">
      <c r="A42" s="1" t="s">
        <v>940</v>
      </c>
      <c r="B42" s="26">
        <v>275</v>
      </c>
      <c r="C42" s="4">
        <v>0</v>
      </c>
      <c r="D42" s="4">
        <v>0</v>
      </c>
      <c r="E42" s="4">
        <v>0</v>
      </c>
      <c r="F42" s="4">
        <v>0</v>
      </c>
      <c r="G42" s="4">
        <v>77837</v>
      </c>
      <c r="H42" s="4">
        <v>155673</v>
      </c>
      <c r="I42" s="4">
        <v>155673</v>
      </c>
      <c r="J42" s="4">
        <v>155673</v>
      </c>
      <c r="K42" s="4">
        <v>155673</v>
      </c>
      <c r="L42" s="4">
        <v>155673</v>
      </c>
      <c r="M42" s="4">
        <v>155673</v>
      </c>
    </row>
    <row x14ac:dyDescent="0.25" r="43" customHeight="1" ht="18">
      <c r="A43" s="1" t="s">
        <v>941</v>
      </c>
      <c r="B43" s="26">
        <v>275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45535</v>
      </c>
      <c r="I43" s="4">
        <v>120447</v>
      </c>
      <c r="J43" s="4">
        <v>139609</v>
      </c>
      <c r="K43" s="4">
        <v>142606</v>
      </c>
      <c r="L43" s="4">
        <v>153759</v>
      </c>
      <c r="M43" s="4">
        <v>119511</v>
      </c>
    </row>
    <row x14ac:dyDescent="0.25" r="44" customHeight="1" ht="18">
      <c r="A44" s="1" t="s">
        <v>942</v>
      </c>
      <c r="B44" s="26">
        <v>275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13790</v>
      </c>
      <c r="I44" s="4">
        <v>34431</v>
      </c>
      <c r="J44" s="4">
        <v>34431</v>
      </c>
      <c r="K44" s="4">
        <v>34431</v>
      </c>
      <c r="L44" s="4">
        <v>34431</v>
      </c>
      <c r="M44" s="4">
        <v>34431</v>
      </c>
    </row>
    <row x14ac:dyDescent="0.25" r="45" customHeight="1" ht="18">
      <c r="A45" s="1"/>
      <c r="B45" s="3"/>
      <c r="C45" s="3"/>
      <c r="D45" s="35"/>
      <c r="E45" s="35"/>
      <c r="F45" s="35"/>
      <c r="G45" s="35"/>
      <c r="H45" s="35"/>
      <c r="I45" s="35"/>
      <c r="J45" s="35"/>
      <c r="K45" s="3"/>
      <c r="L45" s="3"/>
      <c r="M45" s="3"/>
    </row>
    <row x14ac:dyDescent="0.25" r="46" customHeight="1" ht="18">
      <c r="A46" s="1"/>
      <c r="B46" s="3"/>
      <c r="C46" s="3"/>
      <c r="D46" s="35"/>
      <c r="E46" s="35"/>
      <c r="F46" s="36">
        <f>SUM(F2:F10,F12,F13:F16,F18:F19,F21:F22,F23:F25,F26:F44)</f>
      </c>
      <c r="G46" s="36">
        <f>SUM(G2:G10,G12,G13:G16,G18:G19,G21:G22,G23:G25,G26:G44)</f>
      </c>
      <c r="H46" s="36">
        <f>SUM(H2:H10,H12,H13:H16,H18:H19,H21:H22,H23:H25,H26:H44)</f>
      </c>
      <c r="I46" s="36">
        <f>SUM(I2:I10,I12,I13:I16,I18:I19,I21:I22,I23:I25,I26:I44)</f>
      </c>
      <c r="J46" s="36">
        <f>SUM(J2:J10,J12,J13:J16,J18:J19,J21:J22,J23:J25,J26:J44)</f>
      </c>
      <c r="K46" s="3"/>
      <c r="L46" s="3"/>
      <c r="M46" s="3"/>
    </row>
    <row x14ac:dyDescent="0.25" r="47" customHeight="1" ht="18">
      <c r="A47" s="1"/>
      <c r="B47" s="3"/>
      <c r="C47" s="3"/>
      <c r="D47" s="4">
        <f>SUM(D23:D25)</f>
      </c>
      <c r="E47" s="4">
        <f>SUM(E23:E25)</f>
      </c>
      <c r="F47" s="4">
        <f>SUM(F23:F25)</f>
      </c>
      <c r="G47" s="4">
        <f>SUM(G23:G25)</f>
      </c>
      <c r="H47" s="4">
        <f>SUM(H23:H25)</f>
      </c>
      <c r="I47" s="4">
        <f>SUM(I23:I25)</f>
      </c>
      <c r="J47" s="4">
        <f>SUM(J23:J25)</f>
      </c>
      <c r="K47" s="3"/>
      <c r="L47" s="3"/>
      <c r="M47" s="3"/>
    </row>
    <row x14ac:dyDescent="0.25" r="48" customHeight="1" ht="18">
      <c r="A48" s="1"/>
      <c r="B48" s="3"/>
      <c r="C48" s="3"/>
      <c r="D48" s="4">
        <f>1881*275</f>
      </c>
      <c r="E48" s="4">
        <f>1881*275</f>
      </c>
      <c r="F48" s="4">
        <f>1881*275</f>
      </c>
      <c r="G48" s="4">
        <f>1881*275</f>
      </c>
      <c r="H48" s="4">
        <f>1881*275</f>
      </c>
      <c r="I48" s="4">
        <f>1881*275</f>
      </c>
      <c r="J48" s="4">
        <f>1881*275</f>
      </c>
      <c r="K48" s="3"/>
      <c r="L48" s="3"/>
      <c r="M48" s="3"/>
    </row>
    <row x14ac:dyDescent="0.25" r="49" customHeight="1" ht="18">
      <c r="A49" s="1"/>
      <c r="B49" s="3"/>
      <c r="C49" s="3"/>
      <c r="D49" s="37">
        <f>D47/D48</f>
      </c>
      <c r="E49" s="37">
        <f>E47/E48</f>
      </c>
      <c r="F49" s="37">
        <f>F47/F48</f>
      </c>
      <c r="G49" s="37">
        <f>G47/G48</f>
      </c>
      <c r="H49" s="37">
        <f>H47/H48</f>
      </c>
      <c r="I49" s="37">
        <f>I47/I48</f>
      </c>
      <c r="J49" s="37">
        <f>J47/J48</f>
      </c>
      <c r="K49" s="3"/>
      <c r="L49" s="3"/>
      <c r="M4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K27"/>
  <sheetViews>
    <sheetView workbookViewId="0"/>
  </sheetViews>
  <sheetFormatPr defaultRowHeight="15" x14ac:dyDescent="0.25"/>
  <cols>
    <col min="1" max="1" style="5" width="18.005" customWidth="1" bestFit="1"/>
    <col min="2" max="2" style="6" width="17.862142857142857" customWidth="1" bestFit="1"/>
    <col min="3" max="3" style="6" width="17.862142857142857" customWidth="1" bestFit="1"/>
    <col min="4" max="4" style="6" width="17.862142857142857" customWidth="1" bestFit="1"/>
    <col min="5" max="5" style="6" width="17.862142857142857" customWidth="1" bestFit="1"/>
    <col min="6" max="6" style="6" width="17.862142857142857" customWidth="1" bestFit="1"/>
    <col min="7" max="7" style="6" width="17.862142857142857" customWidth="1" bestFit="1"/>
    <col min="8" max="8" style="6" width="17.862142857142857" customWidth="1" bestFit="1"/>
    <col min="9" max="9" style="6" width="17.862142857142857" customWidth="1" bestFit="1"/>
    <col min="10" max="10" style="6" width="17.862142857142857" customWidth="1" bestFit="1"/>
    <col min="11" max="11" style="6" width="17.862142857142857" customWidth="1" bestFit="1"/>
    <col min="12" max="12" style="6" width="17.862142857142857" customWidth="1" bestFit="1"/>
    <col min="13" max="13" style="6" width="17.862142857142857" customWidth="1" bestFit="1"/>
    <col min="14" max="14" style="6" width="17.862142857142857" customWidth="1" bestFit="1"/>
    <col min="15" max="15" style="6" width="17.862142857142857" customWidth="1" bestFit="1"/>
    <col min="16" max="16" style="6" width="17.862142857142857" customWidth="1" bestFit="1"/>
    <col min="17" max="17" style="6" width="17.862142857142857" customWidth="1" bestFit="1"/>
    <col min="18" max="18" style="6" width="17.862142857142857" customWidth="1" bestFit="1"/>
    <col min="19" max="19" style="6" width="17.862142857142857" customWidth="1" bestFit="1"/>
    <col min="20" max="20" style="6" width="17.862142857142857" customWidth="1" bestFit="1"/>
    <col min="21" max="21" style="6" width="17.862142857142857" customWidth="1" bestFit="1"/>
    <col min="22" max="22" style="6" width="17.862142857142857" customWidth="1" bestFit="1"/>
    <col min="23" max="23" style="6" width="17.862142857142857" customWidth="1" bestFit="1"/>
    <col min="24" max="24" style="7" width="17.862142857142857" customWidth="1" bestFit="1"/>
    <col min="25" max="25" style="7" width="17.862142857142857" customWidth="1" bestFit="1"/>
    <col min="26" max="26" style="7" width="17.862142857142857" customWidth="1" bestFit="1"/>
    <col min="27" max="27" style="7" width="17.862142857142857" customWidth="1" bestFit="1"/>
    <col min="28" max="28" style="7" width="17.862142857142857" customWidth="1" bestFit="1"/>
    <col min="29" max="29" style="5" width="17.862142857142857" customWidth="1" bestFit="1"/>
    <col min="30" max="30" style="7" width="17.862142857142857" customWidth="1" bestFit="1"/>
    <col min="31" max="31" style="7" width="17.862142857142857" customWidth="1" bestFit="1"/>
    <col min="32" max="32" style="7" width="17.862142857142857" customWidth="1" bestFit="1"/>
    <col min="33" max="33" style="7" width="17.862142857142857" customWidth="1" bestFit="1"/>
    <col min="34" max="34" style="7" width="17.862142857142857" customWidth="1" bestFit="1"/>
    <col min="35" max="35" style="7" width="17.862142857142857" customWidth="1" bestFit="1"/>
    <col min="36" max="36" style="7" width="17.862142857142857" customWidth="1" bestFit="1"/>
    <col min="37" max="37" style="7" width="17.862142857142857" customWidth="1" bestFit="1"/>
    <col min="38" max="38" style="7" width="17.862142857142857" customWidth="1" bestFit="1"/>
    <col min="39" max="39" style="7" width="17.862142857142857" customWidth="1" bestFit="1"/>
    <col min="40" max="40" style="7" width="17.862142857142857" customWidth="1" bestFit="1"/>
    <col min="41" max="41" style="7" width="17.862142857142857" customWidth="1" bestFit="1"/>
    <col min="42" max="42" style="7" width="17.862142857142857" customWidth="1" bestFit="1"/>
    <col min="43" max="43" style="7" width="17.862142857142857" customWidth="1" bestFit="1"/>
    <col min="44" max="44" style="7" width="17.862142857142857" customWidth="1" bestFit="1"/>
    <col min="45" max="45" style="7" width="17.862142857142857" customWidth="1" bestFit="1"/>
    <col min="46" max="46" style="7" width="17.862142857142857" customWidth="1" bestFit="1"/>
    <col min="47" max="47" style="7" width="17.862142857142857" customWidth="1" bestFit="1"/>
    <col min="48" max="48" style="7" width="17.862142857142857" customWidth="1" bestFit="1"/>
    <col min="49" max="49" style="7" width="17.862142857142857" customWidth="1" bestFit="1"/>
    <col min="50" max="50" style="7" width="17.862142857142857" customWidth="1" bestFit="1"/>
    <col min="51" max="51" style="7" width="17.862142857142857" customWidth="1" bestFit="1"/>
    <col min="52" max="52" style="7" width="17.862142857142857" customWidth="1" bestFit="1"/>
    <col min="53" max="53" style="7" width="17.862142857142857" customWidth="1" bestFit="1"/>
    <col min="54" max="54" style="7" width="17.862142857142857" customWidth="1" bestFit="1"/>
    <col min="55" max="55" style="7" width="17.862142857142857" customWidth="1" bestFit="1"/>
    <col min="56" max="56" style="7" width="17.862142857142857" customWidth="1" bestFit="1"/>
    <col min="57" max="57" style="7" width="17.862142857142857" customWidth="1" bestFit="1"/>
    <col min="58" max="58" style="7" width="17.862142857142857" customWidth="1" bestFit="1"/>
    <col min="59" max="59" style="7" width="17.862142857142857" customWidth="1" bestFit="1"/>
    <col min="60" max="60" style="7" width="17.862142857142857" customWidth="1" bestFit="1"/>
    <col min="61" max="61" style="7" width="17.862142857142857" customWidth="1" bestFit="1"/>
    <col min="62" max="62" style="7" width="17.862142857142857" customWidth="1" bestFit="1"/>
    <col min="63" max="63" style="5" width="17.862142857142857" customWidth="1" bestFit="1"/>
    <col min="64" max="64" style="7" width="17.862142857142857" customWidth="1" bestFit="1"/>
    <col min="65" max="65" style="7" width="17.862142857142857" customWidth="1" bestFit="1"/>
    <col min="66" max="66" style="7" width="17.862142857142857" customWidth="1" bestFit="1"/>
    <col min="67" max="67" style="7" width="17.862142857142857" customWidth="1" bestFit="1"/>
    <col min="68" max="68" style="7" width="17.862142857142857" customWidth="1" bestFit="1"/>
    <col min="69" max="69" style="7" width="17.862142857142857" customWidth="1" bestFit="1"/>
    <col min="70" max="70" style="7" width="17.862142857142857" customWidth="1" bestFit="1"/>
    <col min="71" max="71" style="7" width="17.862142857142857" customWidth="1" bestFit="1"/>
    <col min="72" max="72" style="7" width="17.862142857142857" customWidth="1" bestFit="1"/>
    <col min="73" max="73" style="7" width="17.862142857142857" customWidth="1" bestFit="1"/>
    <col min="74" max="74" style="7" width="17.862142857142857" customWidth="1" bestFit="1"/>
    <col min="75" max="75" style="7" width="17.862142857142857" customWidth="1" bestFit="1"/>
    <col min="76" max="76" style="7" width="17.862142857142857" customWidth="1" bestFit="1"/>
    <col min="77" max="77" style="7" width="17.862142857142857" customWidth="1" bestFit="1"/>
    <col min="78" max="78" style="7" width="17.862142857142857" customWidth="1" bestFit="1"/>
    <col min="79" max="79" style="7" width="17.862142857142857" customWidth="1" bestFit="1"/>
    <col min="80" max="80" style="7" width="17.862142857142857" customWidth="1" bestFit="1"/>
    <col min="81" max="81" style="7" width="17.862142857142857" customWidth="1" bestFit="1"/>
    <col min="82" max="82" style="7" width="17.862142857142857" customWidth="1" bestFit="1"/>
    <col min="83" max="83" style="7" width="17.862142857142857" customWidth="1" bestFit="1"/>
    <col min="84" max="84" style="7" width="17.862142857142857" customWidth="1" bestFit="1"/>
    <col min="85" max="85" style="7" width="17.862142857142857" customWidth="1" bestFit="1"/>
    <col min="86" max="86" style="7" width="17.862142857142857" customWidth="1" bestFit="1"/>
    <col min="87" max="87" style="7" width="17.862142857142857" customWidth="1" bestFit="1"/>
    <col min="88" max="88" style="7" width="17.862142857142857" customWidth="1" bestFit="1"/>
    <col min="89" max="89" style="7" width="17.862142857142857" customWidth="1" bestFit="1"/>
    <col min="90" max="90" style="7" width="17.862142857142857" customWidth="1" bestFit="1"/>
    <col min="91" max="91" style="7" width="17.862142857142857" customWidth="1" bestFit="1"/>
    <col min="92" max="92" style="7" width="17.862142857142857" customWidth="1" bestFit="1"/>
    <col min="93" max="93" style="7" width="17.862142857142857" customWidth="1" bestFit="1"/>
    <col min="94" max="94" style="7" width="17.862142857142857" customWidth="1" bestFit="1"/>
    <col min="95" max="95" style="5" width="17.862142857142857" customWidth="1" bestFit="1"/>
    <col min="96" max="96" style="7" width="17.862142857142857" customWidth="1" bestFit="1"/>
    <col min="97" max="97" style="7" width="17.862142857142857" customWidth="1" bestFit="1"/>
    <col min="98" max="98" style="7" width="17.862142857142857" customWidth="1" bestFit="1"/>
    <col min="99" max="99" style="7" width="17.862142857142857" customWidth="1" bestFit="1"/>
    <col min="100" max="100" style="7" width="17.862142857142857" customWidth="1" bestFit="1"/>
    <col min="101" max="101" style="7" width="17.862142857142857" customWidth="1" bestFit="1"/>
    <col min="102" max="102" style="7" width="17.862142857142857" customWidth="1" bestFit="1"/>
    <col min="103" max="103" style="7" width="17.862142857142857" customWidth="1" bestFit="1"/>
    <col min="104" max="104" style="7" width="17.862142857142857" customWidth="1" bestFit="1"/>
    <col min="105" max="105" style="7" width="17.862142857142857" customWidth="1" bestFit="1"/>
    <col min="106" max="106" style="7" width="17.862142857142857" customWidth="1" bestFit="1"/>
    <col min="107" max="107" style="7" width="17.862142857142857" customWidth="1" bestFit="1"/>
    <col min="108" max="108" style="7" width="17.862142857142857" customWidth="1" bestFit="1"/>
    <col min="109" max="109" style="7" width="17.862142857142857" customWidth="1" bestFit="1"/>
    <col min="110" max="110" style="7" width="17.862142857142857" customWidth="1" bestFit="1"/>
    <col min="111" max="111" style="7" width="17.862142857142857" customWidth="1" bestFit="1"/>
    <col min="112" max="112" style="7" width="17.862142857142857" customWidth="1" bestFit="1"/>
    <col min="113" max="113" style="7" width="17.862142857142857" customWidth="1" bestFit="1"/>
    <col min="114" max="114" style="7" width="17.862142857142857" customWidth="1" bestFit="1"/>
    <col min="115" max="115" style="7" width="17.862142857142857" customWidth="1" bestFit="1"/>
    <col min="116" max="116" style="7" width="17.862142857142857" customWidth="1" bestFit="1"/>
    <col min="117" max="117" style="7" width="17.862142857142857" customWidth="1" bestFit="1"/>
    <col min="118" max="118" style="7" width="17.862142857142857" customWidth="1" bestFit="1"/>
    <col min="119" max="119" style="7" width="17.862142857142857" customWidth="1" bestFit="1"/>
    <col min="120" max="120" style="7" width="17.862142857142857" customWidth="1" bestFit="1"/>
    <col min="121" max="121" style="7" width="17.862142857142857" customWidth="1" bestFit="1"/>
    <col min="122" max="122" style="7" width="17.862142857142857" customWidth="1" bestFit="1"/>
    <col min="123" max="123" style="7" width="17.862142857142857" customWidth="1" bestFit="1"/>
    <col min="124" max="124" style="7" width="17.862142857142857" customWidth="1" bestFit="1"/>
    <col min="125" max="125" style="7" width="17.862142857142857" customWidth="1" bestFit="1"/>
    <col min="126" max="126" style="7" width="17.862142857142857" customWidth="1" bestFit="1"/>
    <col min="127" max="127" style="7" width="17.862142857142857" customWidth="1" bestFit="1"/>
    <col min="128" max="128" style="7" width="17.862142857142857" customWidth="1" bestFit="1"/>
    <col min="129" max="129" style="7" width="17.862142857142857" customWidth="1" bestFit="1"/>
    <col min="130" max="130" style="7" width="17.862142857142857" customWidth="1" bestFit="1"/>
    <col min="131" max="131" style="7" width="17.862142857142857" customWidth="1" bestFit="1"/>
    <col min="132" max="132" style="7" width="17.862142857142857" customWidth="1" bestFit="1"/>
    <col min="133" max="133" style="7" width="17.862142857142857" customWidth="1" bestFit="1"/>
    <col min="134" max="134" style="7" width="17.862142857142857" customWidth="1" bestFit="1"/>
    <col min="135" max="135" style="7" width="17.862142857142857" customWidth="1" bestFit="1"/>
    <col min="136" max="136" style="7" width="17.862142857142857" customWidth="1" bestFit="1"/>
    <col min="137" max="137" style="7" width="17.862142857142857" customWidth="1" bestFit="1"/>
    <col min="138" max="138" style="7" width="17.862142857142857" customWidth="1" bestFit="1"/>
    <col min="139" max="139" style="7" width="17.862142857142857" customWidth="1" bestFit="1"/>
    <col min="140" max="140" style="7" width="17.862142857142857" customWidth="1" bestFit="1"/>
    <col min="141" max="141" style="7" width="17.862142857142857" customWidth="1" bestFit="1"/>
    <col min="142" max="142" style="7" width="17.862142857142857" customWidth="1" bestFit="1"/>
    <col min="143" max="143" style="7" width="17.862142857142857" customWidth="1" bestFit="1"/>
    <col min="144" max="144" style="7" width="17.862142857142857" customWidth="1" bestFit="1"/>
    <col min="145" max="145" style="7" width="17.862142857142857" customWidth="1" bestFit="1"/>
    <col min="146" max="146" style="7" width="17.862142857142857" customWidth="1" bestFit="1"/>
    <col min="147" max="147" style="7" width="17.862142857142857" customWidth="1" bestFit="1"/>
    <col min="148" max="148" style="7" width="17.862142857142857" customWidth="1" bestFit="1"/>
    <col min="149" max="149" style="7" width="17.862142857142857" customWidth="1" bestFit="1"/>
    <col min="150" max="150" style="7" width="17.862142857142857" customWidth="1" bestFit="1"/>
    <col min="151" max="151" style="7" width="17.862142857142857" customWidth="1" bestFit="1"/>
    <col min="152" max="152" style="7" width="17.862142857142857" customWidth="1" bestFit="1"/>
    <col min="153" max="153" style="5" width="17.862142857142857" customWidth="1" bestFit="1"/>
    <col min="154" max="154" style="7" width="17.862142857142857" customWidth="1" bestFit="1"/>
    <col min="155" max="155" style="7" width="17.862142857142857" customWidth="1" bestFit="1"/>
    <col min="156" max="156" style="7" width="17.862142857142857" customWidth="1" bestFit="1"/>
    <col min="157" max="157" style="7" width="17.862142857142857" customWidth="1" bestFit="1"/>
    <col min="158" max="158" style="7" width="17.862142857142857" customWidth="1" bestFit="1"/>
    <col min="159" max="159" style="7" width="17.862142857142857" customWidth="1" bestFit="1"/>
    <col min="160" max="160" style="7" width="17.862142857142857" customWidth="1" bestFit="1"/>
    <col min="161" max="161" style="7" width="17.862142857142857" customWidth="1" bestFit="1"/>
    <col min="162" max="162" style="7" width="17.862142857142857" customWidth="1" bestFit="1"/>
    <col min="163" max="163" style="7" width="17.862142857142857" customWidth="1" bestFit="1"/>
    <col min="164" max="164" style="7" width="17.862142857142857" customWidth="1" bestFit="1"/>
    <col min="165" max="165" style="7" width="17.862142857142857" customWidth="1" bestFit="1"/>
    <col min="166" max="166" style="7" width="17.862142857142857" customWidth="1" bestFit="1"/>
    <col min="167" max="167" style="7" width="17.862142857142857" customWidth="1" bestFit="1"/>
    <col min="168" max="168" style="7" width="17.862142857142857" customWidth="1" bestFit="1"/>
    <col min="169" max="169" style="7" width="17.862142857142857" customWidth="1" bestFit="1"/>
    <col min="170" max="170" style="7" width="17.862142857142857" customWidth="1" bestFit="1"/>
    <col min="171" max="171" style="7" width="17.862142857142857" customWidth="1" bestFit="1"/>
    <col min="172" max="172" style="7" width="17.862142857142857" customWidth="1" bestFit="1"/>
    <col min="173" max="173" style="7" width="17.862142857142857" customWidth="1" bestFit="1"/>
    <col min="174" max="174" style="7" width="17.862142857142857" customWidth="1" bestFit="1"/>
    <col min="175" max="175" style="7" width="17.862142857142857" customWidth="1" bestFit="1"/>
    <col min="176" max="176" style="7" width="17.862142857142857" customWidth="1" bestFit="1"/>
    <col min="177" max="177" style="7" width="17.862142857142857" customWidth="1" bestFit="1"/>
    <col min="178" max="178" style="7" width="17.862142857142857" customWidth="1" bestFit="1"/>
    <col min="179" max="179" style="7" width="17.862142857142857" customWidth="1" bestFit="1"/>
    <col min="180" max="180" style="7" width="17.862142857142857" customWidth="1" bestFit="1"/>
    <col min="181" max="181" style="7" width="17.862142857142857" customWidth="1" bestFit="1"/>
    <col min="182" max="182" style="7" width="17.862142857142857" customWidth="1" bestFit="1"/>
    <col min="183" max="183" style="7" width="17.862142857142857" customWidth="1" bestFit="1"/>
    <col min="184" max="184" style="7" width="17.862142857142857" customWidth="1" bestFit="1"/>
    <col min="185" max="185" style="7" width="17.862142857142857" customWidth="1" bestFit="1"/>
    <col min="186" max="186" style="7" width="17.862142857142857" customWidth="1" bestFit="1"/>
    <col min="187" max="187" style="7" width="17.862142857142857" customWidth="1" bestFit="1"/>
    <col min="188" max="188" style="7" width="17.862142857142857" customWidth="1" bestFit="1"/>
    <col min="189" max="189" style="7" width="17.862142857142857" customWidth="1" bestFit="1"/>
    <col min="190" max="190" style="7" width="17.862142857142857" customWidth="1" bestFit="1"/>
    <col min="191" max="191" style="7" width="17.862142857142857" customWidth="1" bestFit="1"/>
    <col min="192" max="192" style="7" width="17.862142857142857" customWidth="1" bestFit="1"/>
    <col min="193" max="193" style="7" width="17.862142857142857" customWidth="1" bestFit="1"/>
    <col min="194" max="194" style="7" width="17.862142857142857" customWidth="1" bestFit="1"/>
    <col min="195" max="195" style="7" width="17.862142857142857" customWidth="1" bestFit="1"/>
    <col min="196" max="196" style="7" width="17.862142857142857" customWidth="1" bestFit="1"/>
    <col min="197" max="197" style="7" width="17.862142857142857" customWidth="1" bestFit="1"/>
    <col min="198" max="198" style="7" width="17.862142857142857" customWidth="1" bestFit="1"/>
    <col min="199" max="199" style="7" width="17.862142857142857" customWidth="1" bestFit="1"/>
    <col min="200" max="200" style="7" width="17.862142857142857" customWidth="1" bestFit="1"/>
    <col min="201" max="201" style="7" width="17.862142857142857" customWidth="1" bestFit="1"/>
    <col min="202" max="202" style="7" width="17.862142857142857" customWidth="1" bestFit="1"/>
    <col min="203" max="203" style="7" width="17.862142857142857" customWidth="1" bestFit="1"/>
    <col min="204" max="204" style="7" width="17.862142857142857" customWidth="1" bestFit="1"/>
    <col min="205" max="205" style="7" width="17.862142857142857" customWidth="1" bestFit="1"/>
    <col min="206" max="206" style="7" width="17.862142857142857" customWidth="1" bestFit="1"/>
    <col min="207" max="207" style="7" width="17.862142857142857" customWidth="1" bestFit="1"/>
    <col min="208" max="208" style="7" width="17.862142857142857" customWidth="1" bestFit="1"/>
    <col min="209" max="209" style="7" width="17.862142857142857" customWidth="1" bestFit="1"/>
    <col min="210" max="210" style="7" width="17.862142857142857" customWidth="1" bestFit="1"/>
    <col min="211" max="211" style="7" width="17.862142857142857" customWidth="1" bestFit="1"/>
    <col min="212" max="212" style="7" width="17.862142857142857" customWidth="1" bestFit="1"/>
    <col min="213" max="213" style="7" width="17.862142857142857" customWidth="1" bestFit="1"/>
    <col min="214" max="214" style="7" width="17.862142857142857" customWidth="1" bestFit="1"/>
    <col min="215" max="215" style="7" width="17.862142857142857" customWidth="1" bestFit="1"/>
    <col min="216" max="216" style="7" width="17.862142857142857" customWidth="1" bestFit="1"/>
    <col min="217" max="217" style="5" width="17.862142857142857" customWidth="1" bestFit="1"/>
    <col min="218" max="218" style="7" width="17.862142857142857" customWidth="1" bestFit="1"/>
    <col min="219" max="219" style="7" width="17.862142857142857" customWidth="1" bestFit="1"/>
    <col min="220" max="220" style="7" width="17.862142857142857" customWidth="1" bestFit="1"/>
    <col min="221" max="221" style="7" width="17.862142857142857" customWidth="1" bestFit="1"/>
    <col min="222" max="222" style="7" width="17.862142857142857" customWidth="1" bestFit="1"/>
    <col min="223" max="223" style="7" width="17.862142857142857" customWidth="1" bestFit="1"/>
    <col min="224" max="224" style="7" width="17.862142857142857" customWidth="1" bestFit="1"/>
    <col min="225" max="225" style="7" width="17.862142857142857" customWidth="1" bestFit="1"/>
    <col min="226" max="226" style="7" width="17.862142857142857" customWidth="1" bestFit="1"/>
    <col min="227" max="227" style="7" width="17.862142857142857" customWidth="1" bestFit="1"/>
    <col min="228" max="228" style="7" width="17.862142857142857" customWidth="1" bestFit="1"/>
    <col min="229" max="229" style="7" width="17.862142857142857" customWidth="1" bestFit="1"/>
    <col min="230" max="230" style="7" width="17.862142857142857" customWidth="1" bestFit="1"/>
    <col min="231" max="231" style="7" width="17.862142857142857" customWidth="1" bestFit="1"/>
    <col min="232" max="232" style="7" width="17.862142857142857" customWidth="1" bestFit="1"/>
    <col min="233" max="233" style="7" width="17.862142857142857" customWidth="1" bestFit="1"/>
    <col min="234" max="234" style="7" width="17.862142857142857" customWidth="1" bestFit="1"/>
    <col min="235" max="235" style="7" width="17.862142857142857" customWidth="1" bestFit="1"/>
    <col min="236" max="236" style="7" width="17.862142857142857" customWidth="1" bestFit="1"/>
    <col min="237" max="237" style="7" width="17.862142857142857" customWidth="1" bestFit="1"/>
    <col min="238" max="238" style="7" width="17.862142857142857" customWidth="1" bestFit="1"/>
    <col min="239" max="239" style="7" width="17.862142857142857" customWidth="1" bestFit="1"/>
    <col min="240" max="240" style="7" width="17.862142857142857" customWidth="1" bestFit="1"/>
    <col min="241" max="241" style="7" width="17.862142857142857" customWidth="1" bestFit="1"/>
    <col min="242" max="242" style="7" width="17.862142857142857" customWidth="1" bestFit="1"/>
    <col min="243" max="243" style="7" width="17.862142857142857" customWidth="1" bestFit="1"/>
    <col min="244" max="244" style="7" width="17.862142857142857" customWidth="1" bestFit="1"/>
    <col min="245" max="245" style="7" width="17.862142857142857" customWidth="1" bestFit="1"/>
    <col min="246" max="246" style="7" width="17.862142857142857" customWidth="1" bestFit="1"/>
    <col min="247" max="247" style="7" width="17.862142857142857" customWidth="1" bestFit="1"/>
    <col min="248" max="248" style="7" width="17.862142857142857" customWidth="1" bestFit="1"/>
    <col min="249" max="249" style="7" width="17.862142857142857" customWidth="1" bestFit="1"/>
    <col min="250" max="250" style="7" width="17.862142857142857" customWidth="1" bestFit="1"/>
    <col min="251" max="251" style="7" width="17.862142857142857" customWidth="1" bestFit="1"/>
    <col min="252" max="252" style="7" width="17.862142857142857" customWidth="1" bestFit="1"/>
    <col min="253" max="253" style="7" width="17.862142857142857" customWidth="1" bestFit="1"/>
    <col min="254" max="254" style="7" width="17.862142857142857" customWidth="1" bestFit="1"/>
    <col min="255" max="255" style="7" width="17.862142857142857" customWidth="1" bestFit="1"/>
    <col min="256" max="256" style="7" width="17.862142857142857" customWidth="1" bestFit="1"/>
    <col min="257" max="257" style="7" width="17.862142857142857" customWidth="1" bestFit="1"/>
    <col min="258" max="258" style="7" width="17.862142857142857" customWidth="1" bestFit="1"/>
    <col min="259" max="259" style="7" width="17.862142857142857" customWidth="1" bestFit="1"/>
    <col min="260" max="260" style="7" width="17.862142857142857" customWidth="1" bestFit="1"/>
    <col min="261" max="261" style="7" width="17.862142857142857" customWidth="1" bestFit="1"/>
    <col min="262" max="262" style="7" width="17.862142857142857" customWidth="1" bestFit="1"/>
    <col min="263" max="263" style="7" width="17.862142857142857" customWidth="1" bestFit="1"/>
    <col min="264" max="264" style="7" width="17.862142857142857" customWidth="1" bestFit="1"/>
    <col min="265" max="265" style="7" width="17.862142857142857" customWidth="1" bestFit="1"/>
    <col min="266" max="266" style="7" width="17.862142857142857" customWidth="1" bestFit="1"/>
    <col min="267" max="267" style="7" width="17.862142857142857" customWidth="1" bestFit="1"/>
    <col min="268" max="268" style="7" width="17.862142857142857" customWidth="1" bestFit="1"/>
    <col min="269" max="269" style="7" width="17.862142857142857" customWidth="1" bestFit="1"/>
    <col min="270" max="270" style="7" width="17.862142857142857" customWidth="1" bestFit="1"/>
    <col min="271" max="271" style="7" width="17.862142857142857" customWidth="1" bestFit="1"/>
    <col min="272" max="272" style="7" width="17.862142857142857" customWidth="1" bestFit="1"/>
    <col min="273" max="273" style="7" width="17.862142857142857" customWidth="1" bestFit="1"/>
    <col min="274" max="274" style="7" width="17.862142857142857" customWidth="1" bestFit="1"/>
    <col min="275" max="275" style="7" width="17.862142857142857" customWidth="1" bestFit="1"/>
    <col min="276" max="276" style="7" width="17.862142857142857" customWidth="1" bestFit="1"/>
    <col min="277" max="277" style="7" width="17.862142857142857" customWidth="1" bestFit="1"/>
    <col min="278" max="278" style="7" width="17.862142857142857" customWidth="1" bestFit="1"/>
    <col min="279" max="279" style="7" width="17.862142857142857" customWidth="1" bestFit="1"/>
    <col min="280" max="280" style="7" width="17.862142857142857" customWidth="1" bestFit="1"/>
    <col min="281" max="281" style="7" width="17.862142857142857" customWidth="1" bestFit="1"/>
    <col min="282" max="282" style="7" width="17.862142857142857" customWidth="1" bestFit="1"/>
    <col min="283" max="283" style="7" width="17.862142857142857" customWidth="1" bestFit="1"/>
    <col min="284" max="284" style="7" width="17.862142857142857" customWidth="1" bestFit="1"/>
    <col min="285" max="285" style="5" width="17.862142857142857" customWidth="1" bestFit="1"/>
    <col min="286" max="286" style="7" width="17.862142857142857" customWidth="1" bestFit="1"/>
    <col min="287" max="287" style="7" width="17.862142857142857" customWidth="1" bestFit="1"/>
    <col min="288" max="288" style="7" width="17.862142857142857" customWidth="1" bestFit="1"/>
    <col min="289" max="289" style="7" width="17.862142857142857" customWidth="1" bestFit="1"/>
    <col min="290" max="290" style="7" width="17.862142857142857" customWidth="1" bestFit="1"/>
    <col min="291" max="291" style="7" width="17.862142857142857" customWidth="1" bestFit="1"/>
    <col min="292" max="292" style="7" width="17.862142857142857" customWidth="1" bestFit="1"/>
    <col min="293" max="293" style="7" width="17.862142857142857" customWidth="1" bestFit="1"/>
    <col min="294" max="294" style="7" width="17.862142857142857" customWidth="1" bestFit="1"/>
    <col min="295" max="295" style="7" width="17.862142857142857" customWidth="1" bestFit="1"/>
    <col min="296" max="296" style="7" width="17.862142857142857" customWidth="1" bestFit="1"/>
    <col min="297" max="297" style="7" width="17.862142857142857" customWidth="1" bestFit="1"/>
    <col min="298" max="298" style="7" width="17.862142857142857" customWidth="1" bestFit="1"/>
    <col min="299" max="299" style="7" width="17.862142857142857" customWidth="1" bestFit="1"/>
    <col min="300" max="300" style="7" width="17.862142857142857" customWidth="1" bestFit="1"/>
    <col min="301" max="301" style="7" width="17.862142857142857" customWidth="1" bestFit="1"/>
    <col min="302" max="302" style="7" width="17.862142857142857" customWidth="1" bestFit="1"/>
    <col min="303" max="303" style="7" width="17.862142857142857" customWidth="1" bestFit="1"/>
    <col min="304" max="304" style="7" width="17.862142857142857" customWidth="1" bestFit="1"/>
    <col min="305" max="305" style="7" width="17.862142857142857" customWidth="1" bestFit="1"/>
    <col min="306" max="306" style="7" width="17.862142857142857" customWidth="1" bestFit="1"/>
    <col min="307" max="307" style="7" width="17.862142857142857" customWidth="1" bestFit="1"/>
    <col min="308" max="308" style="7" width="17.862142857142857" customWidth="1" bestFit="1"/>
    <col min="309" max="309" style="7" width="17.862142857142857" customWidth="1" bestFit="1"/>
    <col min="310" max="310" style="7" width="17.862142857142857" customWidth="1" bestFit="1"/>
    <col min="311" max="311" style="7" width="17.862142857142857" customWidth="1" bestFit="1"/>
    <col min="312" max="312" style="7" width="17.862142857142857" customWidth="1" bestFit="1"/>
    <col min="313" max="313" style="7" width="17.862142857142857" customWidth="1" bestFit="1"/>
    <col min="314" max="314" style="7" width="17.862142857142857" customWidth="1" bestFit="1"/>
    <col min="315" max="315" style="7" width="17.862142857142857" customWidth="1" bestFit="1"/>
    <col min="316" max="316" style="7" width="17.862142857142857" customWidth="1" bestFit="1"/>
    <col min="317" max="317" style="7" width="17.862142857142857" customWidth="1" bestFit="1"/>
    <col min="318" max="318" style="7" width="17.862142857142857" customWidth="1" bestFit="1"/>
    <col min="319" max="319" style="7" width="17.862142857142857" customWidth="1" bestFit="1"/>
    <col min="320" max="320" style="7" width="17.862142857142857" customWidth="1" bestFit="1"/>
    <col min="321" max="321" style="7" width="17.862142857142857" customWidth="1" bestFit="1"/>
    <col min="322" max="322" style="7" width="17.862142857142857" customWidth="1" bestFit="1"/>
    <col min="323" max="323" style="7" width="17.862142857142857" customWidth="1" bestFit="1"/>
    <col min="324" max="324" style="7" width="17.862142857142857" customWidth="1" bestFit="1"/>
    <col min="325" max="325" style="7" width="17.862142857142857" customWidth="1" bestFit="1"/>
    <col min="326" max="326" style="7" width="17.862142857142857" customWidth="1" bestFit="1"/>
    <col min="327" max="327" style="7" width="17.862142857142857" customWidth="1" bestFit="1"/>
    <col min="328" max="328" style="7" width="17.862142857142857" customWidth="1" bestFit="1"/>
    <col min="329" max="329" style="7" width="17.862142857142857" customWidth="1" bestFit="1"/>
    <col min="330" max="330" style="7" width="17.862142857142857" customWidth="1" bestFit="1"/>
    <col min="331" max="331" style="7" width="17.862142857142857" customWidth="1" bestFit="1"/>
    <col min="332" max="332" style="7" width="17.862142857142857" customWidth="1" bestFit="1"/>
    <col min="333" max="333" style="7" width="17.862142857142857" customWidth="1" bestFit="1"/>
    <col min="334" max="334" style="7" width="17.862142857142857" customWidth="1" bestFit="1"/>
    <col min="335" max="335" style="7" width="17.862142857142857" customWidth="1" bestFit="1"/>
    <col min="336" max="336" style="7" width="17.862142857142857" customWidth="1" bestFit="1"/>
    <col min="337" max="337" style="7" width="17.862142857142857" customWidth="1" bestFit="1"/>
    <col min="338" max="338" style="7" width="17.862142857142857" customWidth="1" bestFit="1"/>
    <col min="339" max="339" style="5" width="17.862142857142857" customWidth="1" bestFit="1"/>
    <col min="340" max="340" style="7" width="17.862142857142857" customWidth="1" bestFit="1"/>
    <col min="341" max="341" style="7" width="17.862142857142857" customWidth="1" bestFit="1"/>
    <col min="342" max="342" style="7" width="17.862142857142857" customWidth="1" bestFit="1"/>
    <col min="343" max="343" style="7" width="17.862142857142857" customWidth="1" bestFit="1"/>
    <col min="344" max="344" style="7" width="17.862142857142857" customWidth="1" bestFit="1"/>
    <col min="345" max="345" style="7" width="17.862142857142857" customWidth="1" bestFit="1"/>
    <col min="346" max="346" style="7" width="17.862142857142857" customWidth="1" bestFit="1"/>
    <col min="347" max="347" style="7" width="17.862142857142857" customWidth="1" bestFit="1"/>
    <col min="348" max="348" style="7" width="17.862142857142857" customWidth="1" bestFit="1"/>
    <col min="349" max="349" style="7" width="17.862142857142857" customWidth="1" bestFit="1"/>
    <col min="350" max="350" style="7" width="17.862142857142857" customWidth="1" bestFit="1"/>
    <col min="351" max="351" style="7" width="17.862142857142857" customWidth="1" bestFit="1"/>
    <col min="352" max="352" style="7" width="17.862142857142857" customWidth="1" bestFit="1"/>
    <col min="353" max="353" style="7" width="17.862142857142857" customWidth="1" bestFit="1"/>
    <col min="354" max="354" style="7" width="17.862142857142857" customWidth="1" bestFit="1"/>
    <col min="355" max="355" style="7" width="17.862142857142857" customWidth="1" bestFit="1"/>
    <col min="356" max="356" style="7" width="17.862142857142857" customWidth="1" bestFit="1"/>
    <col min="357" max="357" style="7" width="17.862142857142857" customWidth="1" bestFit="1"/>
    <col min="358" max="358" style="7" width="17.862142857142857" customWidth="1" bestFit="1"/>
    <col min="359" max="359" style="7" width="17.862142857142857" customWidth="1" bestFit="1"/>
    <col min="360" max="360" style="7" width="17.862142857142857" customWidth="1" bestFit="1"/>
    <col min="361" max="361" style="7" width="17.862142857142857" customWidth="1" bestFit="1"/>
    <col min="362" max="362" style="7" width="17.862142857142857" customWidth="1" bestFit="1"/>
    <col min="363" max="363" style="7" width="17.862142857142857" customWidth="1" bestFit="1"/>
    <col min="364" max="364" style="7" width="17.862142857142857" customWidth="1" bestFit="1"/>
    <col min="365" max="365" style="7" width="17.862142857142857" customWidth="1" bestFit="1"/>
    <col min="366" max="366" style="7" width="17.862142857142857" customWidth="1" bestFit="1"/>
    <col min="367" max="367" style="7" width="17.862142857142857" customWidth="1" bestFit="1"/>
    <col min="368" max="368" style="7" width="17.862142857142857" customWidth="1" bestFit="1"/>
    <col min="369" max="369" style="7" width="17.862142857142857" customWidth="1" bestFit="1"/>
    <col min="370" max="370" style="7" width="17.862142857142857" customWidth="1" bestFit="1"/>
    <col min="371" max="371" style="7" width="17.862142857142857" customWidth="1" bestFit="1"/>
    <col min="372" max="372" style="7" width="17.862142857142857" customWidth="1" bestFit="1"/>
    <col min="373" max="373" style="7" width="17.862142857142857" customWidth="1" bestFit="1"/>
    <col min="374" max="374" style="7" width="17.862142857142857" customWidth="1" bestFit="1"/>
    <col min="375" max="375" style="7" width="17.862142857142857" customWidth="1" bestFit="1"/>
    <col min="376" max="376" style="7" width="17.862142857142857" customWidth="1" bestFit="1"/>
    <col min="377" max="377" style="7" width="17.862142857142857" customWidth="1" bestFit="1"/>
    <col min="378" max="378" style="7" width="17.862142857142857" customWidth="1" bestFit="1"/>
    <col min="379" max="379" style="7" width="17.862142857142857" customWidth="1" bestFit="1"/>
    <col min="380" max="380" style="7" width="17.862142857142857" customWidth="1" bestFit="1"/>
    <col min="381" max="381" style="7" width="17.862142857142857" customWidth="1" bestFit="1"/>
    <col min="382" max="382" style="7" width="17.862142857142857" customWidth="1" bestFit="1"/>
    <col min="383" max="383" style="7" width="17.862142857142857" customWidth="1" bestFit="1"/>
    <col min="384" max="384" style="7" width="17.862142857142857" customWidth="1" bestFit="1"/>
    <col min="385" max="385" style="7" width="17.862142857142857" customWidth="1" bestFit="1"/>
    <col min="386" max="386" style="7" width="17.862142857142857" customWidth="1" bestFit="1"/>
    <col min="387" max="387" style="7" width="17.862142857142857" customWidth="1" bestFit="1"/>
    <col min="388" max="388" style="7" width="17.862142857142857" customWidth="1" bestFit="1"/>
    <col min="389" max="389" style="5" width="17.862142857142857" customWidth="1" bestFit="1"/>
    <col min="390" max="390" style="7" width="17.862142857142857" customWidth="1" bestFit="1"/>
    <col min="391" max="391" style="7" width="17.862142857142857" customWidth="1" bestFit="1"/>
    <col min="392" max="392" style="7" width="17.862142857142857" customWidth="1" bestFit="1"/>
    <col min="393" max="393" style="7" width="17.862142857142857" customWidth="1" bestFit="1"/>
    <col min="394" max="394" style="7" width="17.862142857142857" customWidth="1" bestFit="1"/>
    <col min="395" max="395" style="7" width="17.862142857142857" customWidth="1" bestFit="1"/>
    <col min="396" max="396" style="7" width="17.862142857142857" customWidth="1" bestFit="1"/>
    <col min="397" max="397" style="7" width="17.862142857142857" customWidth="1" bestFit="1"/>
    <col min="398" max="398" style="7" width="17.862142857142857" customWidth="1" bestFit="1"/>
    <col min="399" max="399" style="7" width="17.862142857142857" customWidth="1" bestFit="1"/>
    <col min="400" max="400" style="7" width="17.862142857142857" customWidth="1" bestFit="1"/>
    <col min="401" max="401" style="7" width="17.862142857142857" customWidth="1" bestFit="1"/>
    <col min="402" max="402" style="7" width="17.862142857142857" customWidth="1" bestFit="1"/>
    <col min="403" max="403" style="7" width="17.862142857142857" customWidth="1" bestFit="1"/>
    <col min="404" max="404" style="7" width="17.862142857142857" customWidth="1" bestFit="1"/>
    <col min="405" max="405" style="7" width="17.862142857142857" customWidth="1" bestFit="1"/>
    <col min="406" max="406" style="7" width="17.862142857142857" customWidth="1" bestFit="1"/>
    <col min="407" max="407" style="7" width="17.862142857142857" customWidth="1" bestFit="1"/>
    <col min="408" max="408" style="7" width="17.862142857142857" customWidth="1" bestFit="1"/>
    <col min="409" max="409" style="7" width="17.862142857142857" customWidth="1" bestFit="1"/>
    <col min="410" max="410" style="7" width="17.862142857142857" customWidth="1" bestFit="1"/>
    <col min="411" max="411" style="7" width="17.862142857142857" customWidth="1" bestFit="1"/>
    <col min="412" max="412" style="7" width="17.862142857142857" customWidth="1" bestFit="1"/>
    <col min="413" max="413" style="7" width="17.862142857142857" customWidth="1" bestFit="1"/>
    <col min="414" max="414" style="7" width="17.862142857142857" customWidth="1" bestFit="1"/>
    <col min="415" max="415" style="7" width="17.862142857142857" customWidth="1" bestFit="1"/>
    <col min="416" max="416" style="7" width="17.862142857142857" customWidth="1" bestFit="1"/>
    <col min="417" max="417" style="7" width="17.862142857142857" customWidth="1" bestFit="1"/>
    <col min="418" max="418" style="7" width="17.862142857142857" customWidth="1" bestFit="1"/>
    <col min="419" max="419" style="7" width="17.862142857142857" customWidth="1" bestFit="1"/>
    <col min="420" max="420" style="7" width="17.862142857142857" customWidth="1" bestFit="1"/>
    <col min="421" max="421" style="7" width="17.862142857142857" customWidth="1" bestFit="1"/>
    <col min="422" max="422" style="7" width="17.862142857142857" customWidth="1" bestFit="1"/>
    <col min="423" max="423" style="7" width="17.862142857142857" customWidth="1" bestFit="1"/>
    <col min="424" max="424" style="7" width="17.862142857142857" customWidth="1" bestFit="1"/>
    <col min="425" max="425" style="7" width="17.862142857142857" customWidth="1" bestFit="1"/>
    <col min="426" max="426" style="7" width="17.862142857142857" customWidth="1" bestFit="1"/>
    <col min="427" max="427" style="7" width="17.862142857142857" customWidth="1" bestFit="1"/>
    <col min="428" max="428" style="7" width="17.862142857142857" customWidth="1" bestFit="1"/>
    <col min="429" max="429" style="7" width="17.862142857142857" customWidth="1" bestFit="1"/>
    <col min="430" max="430" style="7" width="17.862142857142857" customWidth="1" bestFit="1"/>
    <col min="431" max="431" style="7" width="17.862142857142857" customWidth="1" bestFit="1"/>
    <col min="432" max="432" style="7" width="17.862142857142857" customWidth="1" bestFit="1"/>
    <col min="433" max="433" style="7" width="17.862142857142857" customWidth="1" bestFit="1"/>
    <col min="434" max="434" style="7" width="17.862142857142857" customWidth="1" bestFit="1"/>
    <col min="435" max="435" style="7" width="17.862142857142857" customWidth="1" bestFit="1"/>
    <col min="436" max="436" style="7" width="17.862142857142857" customWidth="1" bestFit="1"/>
    <col min="437" max="437" style="5" width="17.862142857142857" customWidth="1" bestFit="1"/>
    <col min="438" max="438" style="7" width="17.862142857142857" customWidth="1" bestFit="1"/>
    <col min="439" max="439" style="7" width="17.862142857142857" customWidth="1" bestFit="1"/>
    <col min="440" max="440" style="7" width="17.862142857142857" customWidth="1" bestFit="1"/>
    <col min="441" max="441" style="7" width="17.862142857142857" customWidth="1" bestFit="1"/>
    <col min="442" max="442" style="7" width="17.862142857142857" customWidth="1" bestFit="1"/>
    <col min="443" max="443" style="7" width="17.862142857142857" customWidth="1" bestFit="1"/>
    <col min="444" max="444" style="7" width="17.862142857142857" customWidth="1" bestFit="1"/>
    <col min="445" max="445" style="7" width="17.862142857142857" customWidth="1" bestFit="1"/>
    <col min="446" max="446" style="7" width="17.862142857142857" customWidth="1" bestFit="1"/>
    <col min="447" max="447" style="7" width="17.862142857142857" customWidth="1" bestFit="1"/>
    <col min="448" max="448" style="7" width="17.862142857142857" customWidth="1" bestFit="1"/>
    <col min="449" max="449" style="7" width="17.862142857142857" customWidth="1" bestFit="1"/>
    <col min="450" max="450" style="7" width="17.862142857142857" customWidth="1" bestFit="1"/>
    <col min="451" max="451" style="7" width="17.862142857142857" customWidth="1" bestFit="1"/>
    <col min="452" max="452" style="7" width="17.862142857142857" customWidth="1" bestFit="1"/>
    <col min="453" max="453" style="7" width="17.862142857142857" customWidth="1" bestFit="1"/>
    <col min="454" max="454" style="7" width="17.862142857142857" customWidth="1" bestFit="1"/>
    <col min="455" max="455" style="7" width="17.862142857142857" customWidth="1" bestFit="1"/>
    <col min="456" max="456" style="7" width="17.862142857142857" customWidth="1" bestFit="1"/>
    <col min="457" max="457" style="7" width="17.862142857142857" customWidth="1" bestFit="1"/>
    <col min="458" max="458" style="7" width="17.862142857142857" customWidth="1" bestFit="1"/>
    <col min="459" max="459" style="7" width="17.862142857142857" customWidth="1" bestFit="1"/>
    <col min="460" max="460" style="7" width="17.862142857142857" customWidth="1" bestFit="1"/>
    <col min="461" max="461" style="7" width="17.862142857142857" customWidth="1" bestFit="1"/>
    <col min="462" max="462" style="7" width="17.862142857142857" customWidth="1" bestFit="1"/>
    <col min="463" max="463" style="7" width="17.862142857142857" customWidth="1" bestFit="1"/>
    <col min="464" max="464" style="7" width="17.862142857142857" customWidth="1" bestFit="1"/>
    <col min="465" max="465" style="7" width="17.862142857142857" customWidth="1" bestFit="1"/>
    <col min="466" max="466" style="7" width="17.862142857142857" customWidth="1" bestFit="1"/>
    <col min="467" max="467" style="7" width="17.862142857142857" customWidth="1" bestFit="1"/>
    <col min="468" max="468" style="7" width="17.862142857142857" customWidth="1" bestFit="1"/>
    <col min="469" max="469" style="7" width="17.862142857142857" customWidth="1" bestFit="1"/>
    <col min="470" max="470" style="7" width="17.862142857142857" customWidth="1" bestFit="1"/>
    <col min="471" max="471" style="7" width="17.862142857142857" customWidth="1" bestFit="1"/>
    <col min="472" max="472" style="7" width="17.862142857142857" customWidth="1" bestFit="1"/>
    <col min="473" max="473" style="7" width="17.862142857142857" customWidth="1" bestFit="1"/>
    <col min="474" max="474" style="7" width="17.862142857142857" customWidth="1" bestFit="1"/>
    <col min="475" max="475" style="5" width="17.862142857142857" customWidth="1" bestFit="1"/>
    <col min="476" max="476" style="7" width="17.862142857142857" customWidth="1" bestFit="1"/>
    <col min="477" max="477" style="7" width="17.862142857142857" customWidth="1" bestFit="1"/>
    <col min="478" max="478" style="7" width="17.862142857142857" customWidth="1" bestFit="1"/>
    <col min="479" max="479" style="7" width="17.862142857142857" customWidth="1" bestFit="1"/>
    <col min="480" max="480" style="7" width="17.862142857142857" customWidth="1" bestFit="1"/>
    <col min="481" max="481" style="7" width="17.862142857142857" customWidth="1" bestFit="1"/>
    <col min="482" max="482" style="7" width="17.862142857142857" customWidth="1" bestFit="1"/>
    <col min="483" max="483" style="7" width="17.862142857142857" customWidth="1" bestFit="1"/>
    <col min="484" max="484" style="7" width="17.862142857142857" customWidth="1" bestFit="1"/>
    <col min="485" max="485" style="7" width="17.862142857142857" customWidth="1" bestFit="1"/>
    <col min="486" max="486" style="7" width="17.862142857142857" customWidth="1" bestFit="1"/>
    <col min="487" max="487" style="7" width="17.862142857142857" customWidth="1" bestFit="1"/>
    <col min="488" max="488" style="7" width="17.862142857142857" customWidth="1" bestFit="1"/>
    <col min="489" max="489" style="7" width="17.862142857142857" customWidth="1" bestFit="1"/>
    <col min="490" max="490" style="7" width="17.862142857142857" customWidth="1" bestFit="1"/>
    <col min="491" max="491" style="7" width="17.862142857142857" customWidth="1" bestFit="1"/>
    <col min="492" max="492" style="7" width="17.862142857142857" customWidth="1" bestFit="1"/>
    <col min="493" max="493" style="7" width="17.862142857142857" customWidth="1" bestFit="1"/>
    <col min="494" max="494" style="7" width="17.862142857142857" customWidth="1" bestFit="1"/>
    <col min="495" max="495" style="7" width="17.862142857142857" customWidth="1" bestFit="1"/>
    <col min="496" max="496" style="7" width="17.862142857142857" customWidth="1" bestFit="1"/>
    <col min="497" max="497" style="7" width="17.862142857142857" customWidth="1" bestFit="1"/>
    <col min="498" max="498" style="7" width="17.862142857142857" customWidth="1" bestFit="1"/>
    <col min="499" max="499" style="7" width="17.862142857142857" customWidth="1" bestFit="1"/>
    <col min="500" max="500" style="7" width="17.862142857142857" customWidth="1" bestFit="1"/>
    <col min="501" max="501" style="7" width="17.862142857142857" customWidth="1" bestFit="1"/>
    <col min="502" max="502" style="7" width="17.862142857142857" customWidth="1" bestFit="1"/>
    <col min="503" max="503" style="7" width="17.862142857142857" customWidth="1" bestFit="1"/>
    <col min="504" max="504" style="7" width="17.862142857142857" customWidth="1" bestFit="1"/>
    <col min="505" max="505" style="7" width="17.862142857142857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737</v>
      </c>
      <c r="E1" s="2" t="s">
        <v>738</v>
      </c>
      <c r="F1" s="2" t="s">
        <v>515</v>
      </c>
      <c r="G1" s="2" t="s">
        <v>516</v>
      </c>
      <c r="H1" s="2" t="s">
        <v>517</v>
      </c>
      <c r="I1" s="2" t="s">
        <v>518</v>
      </c>
      <c r="J1" s="2" t="s">
        <v>519</v>
      </c>
      <c r="K1" s="2" t="s">
        <v>173</v>
      </c>
      <c r="L1" s="2" t="s">
        <v>174</v>
      </c>
      <c r="M1" s="2" t="s">
        <v>175</v>
      </c>
      <c r="N1" s="2" t="s">
        <v>3</v>
      </c>
      <c r="O1" s="2" t="s">
        <v>739</v>
      </c>
      <c r="P1" s="2" t="s">
        <v>740</v>
      </c>
      <c r="Q1" s="2" t="s">
        <v>520</v>
      </c>
      <c r="R1" s="2" t="s">
        <v>521</v>
      </c>
      <c r="S1" s="2" t="s">
        <v>522</v>
      </c>
      <c r="T1" s="2" t="s">
        <v>523</v>
      </c>
      <c r="U1" s="2" t="s">
        <v>524</v>
      </c>
      <c r="V1" s="2" t="s">
        <v>179</v>
      </c>
      <c r="W1" s="2" t="s">
        <v>180</v>
      </c>
      <c r="X1" s="3" t="s">
        <v>181</v>
      </c>
      <c r="Y1" s="3" t="s">
        <v>4</v>
      </c>
      <c r="Z1" s="3" t="s">
        <v>5</v>
      </c>
      <c r="AA1" s="3" t="s">
        <v>6</v>
      </c>
      <c r="AB1" s="3" t="s">
        <v>7</v>
      </c>
      <c r="AC1" s="1" t="s">
        <v>8</v>
      </c>
      <c r="AD1" s="3" t="s">
        <v>741</v>
      </c>
      <c r="AE1" s="3" t="s">
        <v>742</v>
      </c>
      <c r="AF1" s="3" t="s">
        <v>525</v>
      </c>
      <c r="AG1" s="3" t="s">
        <v>526</v>
      </c>
      <c r="AH1" s="3" t="s">
        <v>527</v>
      </c>
      <c r="AI1" s="3" t="s">
        <v>528</v>
      </c>
      <c r="AJ1" s="3" t="s">
        <v>529</v>
      </c>
      <c r="AK1" s="3" t="s">
        <v>530</v>
      </c>
      <c r="AL1" s="3" t="s">
        <v>531</v>
      </c>
      <c r="AM1" s="3" t="s">
        <v>532</v>
      </c>
      <c r="AN1" s="3" t="s">
        <v>533</v>
      </c>
      <c r="AO1" s="3" t="s">
        <v>185</v>
      </c>
      <c r="AP1" s="3" t="s">
        <v>186</v>
      </c>
      <c r="AQ1" s="3" t="s">
        <v>187</v>
      </c>
      <c r="AR1" s="3" t="s">
        <v>9</v>
      </c>
      <c r="AS1" s="3" t="s">
        <v>743</v>
      </c>
      <c r="AT1" s="3" t="s">
        <v>744</v>
      </c>
      <c r="AU1" s="3" t="s">
        <v>534</v>
      </c>
      <c r="AV1" s="3" t="s">
        <v>535</v>
      </c>
      <c r="AW1" s="3" t="s">
        <v>536</v>
      </c>
      <c r="AX1" s="3" t="s">
        <v>537</v>
      </c>
      <c r="AY1" s="3" t="s">
        <v>538</v>
      </c>
      <c r="AZ1" s="3" t="s">
        <v>539</v>
      </c>
      <c r="BA1" s="3" t="s">
        <v>540</v>
      </c>
      <c r="BB1" s="3" t="s">
        <v>541</v>
      </c>
      <c r="BC1" s="3" t="s">
        <v>542</v>
      </c>
      <c r="BD1" s="3" t="s">
        <v>191</v>
      </c>
      <c r="BE1" s="3" t="s">
        <v>192</v>
      </c>
      <c r="BF1" s="3" t="s">
        <v>193</v>
      </c>
      <c r="BG1" s="3" t="s">
        <v>10</v>
      </c>
      <c r="BH1" s="3" t="s">
        <v>11</v>
      </c>
      <c r="BI1" s="3" t="s">
        <v>12</v>
      </c>
      <c r="BJ1" s="3" t="s">
        <v>13</v>
      </c>
      <c r="BK1" s="1" t="s">
        <v>14</v>
      </c>
      <c r="BL1" s="3" t="s">
        <v>745</v>
      </c>
      <c r="BM1" s="3" t="s">
        <v>543</v>
      </c>
      <c r="BN1" s="3" t="s">
        <v>544</v>
      </c>
      <c r="BO1" s="3" t="s">
        <v>545</v>
      </c>
      <c r="BP1" s="3" t="s">
        <v>546</v>
      </c>
      <c r="BQ1" s="3" t="s">
        <v>547</v>
      </c>
      <c r="BR1" s="3" t="s">
        <v>548</v>
      </c>
      <c r="BS1" s="3" t="s">
        <v>549</v>
      </c>
      <c r="BT1" s="3" t="s">
        <v>550</v>
      </c>
      <c r="BU1" s="3" t="s">
        <v>551</v>
      </c>
      <c r="BV1" s="3" t="s">
        <v>197</v>
      </c>
      <c r="BW1" s="3" t="s">
        <v>198</v>
      </c>
      <c r="BX1" s="3" t="s">
        <v>199</v>
      </c>
      <c r="BY1" s="3" t="s">
        <v>15</v>
      </c>
      <c r="BZ1" s="3" t="s">
        <v>746</v>
      </c>
      <c r="CA1" s="3" t="s">
        <v>552</v>
      </c>
      <c r="CB1" s="3" t="s">
        <v>553</v>
      </c>
      <c r="CC1" s="3" t="s">
        <v>554</v>
      </c>
      <c r="CD1" s="3" t="s">
        <v>555</v>
      </c>
      <c r="CE1" s="3" t="s">
        <v>556</v>
      </c>
      <c r="CF1" s="3" t="s">
        <v>557</v>
      </c>
      <c r="CG1" s="3" t="s">
        <v>558</v>
      </c>
      <c r="CH1" s="3" t="s">
        <v>559</v>
      </c>
      <c r="CI1" s="3" t="s">
        <v>560</v>
      </c>
      <c r="CJ1" s="3" t="s">
        <v>203</v>
      </c>
      <c r="CK1" s="3" t="s">
        <v>204</v>
      </c>
      <c r="CL1" s="3" t="s">
        <v>205</v>
      </c>
      <c r="CM1" s="3" t="s">
        <v>16</v>
      </c>
      <c r="CN1" s="3" t="s">
        <v>17</v>
      </c>
      <c r="CO1" s="3" t="s">
        <v>18</v>
      </c>
      <c r="CP1" s="3" t="s">
        <v>19</v>
      </c>
      <c r="CQ1" s="1" t="s">
        <v>20</v>
      </c>
      <c r="CR1" s="3" t="s">
        <v>747</v>
      </c>
      <c r="CS1" s="3" t="s">
        <v>748</v>
      </c>
      <c r="CT1" s="3" t="s">
        <v>561</v>
      </c>
      <c r="CU1" s="3" t="s">
        <v>562</v>
      </c>
      <c r="CV1" s="3" t="s">
        <v>563</v>
      </c>
      <c r="CW1" s="3" t="s">
        <v>564</v>
      </c>
      <c r="CX1" s="3" t="s">
        <v>565</v>
      </c>
      <c r="CY1" s="3" t="s">
        <v>355</v>
      </c>
      <c r="CZ1" s="3" t="s">
        <v>357</v>
      </c>
      <c r="DA1" s="3" t="s">
        <v>566</v>
      </c>
      <c r="DB1" s="3" t="s">
        <v>567</v>
      </c>
      <c r="DC1" s="3" t="s">
        <v>568</v>
      </c>
      <c r="DD1" s="3" t="s">
        <v>569</v>
      </c>
      <c r="DE1" s="3" t="s">
        <v>356</v>
      </c>
      <c r="DF1" s="3" t="s">
        <v>570</v>
      </c>
      <c r="DG1" s="3" t="s">
        <v>209</v>
      </c>
      <c r="DH1" s="3" t="s">
        <v>210</v>
      </c>
      <c r="DI1" s="3" t="s">
        <v>211</v>
      </c>
      <c r="DJ1" s="3" t="s">
        <v>21</v>
      </c>
      <c r="DK1" s="3" t="s">
        <v>571</v>
      </c>
      <c r="DL1" s="3" t="s">
        <v>358</v>
      </c>
      <c r="DM1" s="3" t="s">
        <v>749</v>
      </c>
      <c r="DN1" s="3" t="s">
        <v>572</v>
      </c>
      <c r="DO1" s="3" t="s">
        <v>573</v>
      </c>
      <c r="DP1" s="3" t="s">
        <v>22</v>
      </c>
      <c r="DQ1" s="3" t="s">
        <v>23</v>
      </c>
      <c r="DR1" s="3" t="s">
        <v>853</v>
      </c>
      <c r="DS1" s="3" t="s">
        <v>750</v>
      </c>
      <c r="DT1" s="3" t="s">
        <v>751</v>
      </c>
      <c r="DU1" s="3" t="s">
        <v>574</v>
      </c>
      <c r="DV1" s="3" t="s">
        <v>575</v>
      </c>
      <c r="DW1" s="3" t="s">
        <v>576</v>
      </c>
      <c r="DX1" s="3" t="s">
        <v>577</v>
      </c>
      <c r="DY1" s="3" t="s">
        <v>578</v>
      </c>
      <c r="DZ1" s="3" t="s">
        <v>359</v>
      </c>
      <c r="EA1" s="3" t="s">
        <v>361</v>
      </c>
      <c r="EB1" s="3" t="s">
        <v>579</v>
      </c>
      <c r="EC1" s="3" t="s">
        <v>580</v>
      </c>
      <c r="ED1" s="3" t="s">
        <v>581</v>
      </c>
      <c r="EE1" s="3" t="s">
        <v>582</v>
      </c>
      <c r="EF1" s="3" t="s">
        <v>360</v>
      </c>
      <c r="EG1" s="3" t="s">
        <v>583</v>
      </c>
      <c r="EH1" s="3" t="s">
        <v>215</v>
      </c>
      <c r="EI1" s="3" t="s">
        <v>216</v>
      </c>
      <c r="EJ1" s="3" t="s">
        <v>217</v>
      </c>
      <c r="EK1" s="3" t="s">
        <v>24</v>
      </c>
      <c r="EL1" s="3" t="s">
        <v>584</v>
      </c>
      <c r="EM1" s="3" t="s">
        <v>362</v>
      </c>
      <c r="EN1" s="3" t="s">
        <v>752</v>
      </c>
      <c r="EO1" s="3" t="s">
        <v>585</v>
      </c>
      <c r="EP1" s="3" t="s">
        <v>586</v>
      </c>
      <c r="EQ1" s="3" t="s">
        <v>25</v>
      </c>
      <c r="ER1" s="3" t="s">
        <v>26</v>
      </c>
      <c r="ES1" s="3" t="s">
        <v>854</v>
      </c>
      <c r="ET1" s="3" t="s">
        <v>27</v>
      </c>
      <c r="EU1" s="3" t="s">
        <v>28</v>
      </c>
      <c r="EV1" s="3" t="s">
        <v>29</v>
      </c>
      <c r="EW1" s="1" t="s">
        <v>30</v>
      </c>
      <c r="EX1" s="3" t="s">
        <v>753</v>
      </c>
      <c r="EY1" s="3" t="s">
        <v>754</v>
      </c>
      <c r="EZ1" s="3" t="s">
        <v>587</v>
      </c>
      <c r="FA1" s="3" t="s">
        <v>588</v>
      </c>
      <c r="FB1" s="3" t="s">
        <v>589</v>
      </c>
      <c r="FC1" s="3" t="s">
        <v>590</v>
      </c>
      <c r="FD1" s="3" t="s">
        <v>591</v>
      </c>
      <c r="FE1" s="3" t="s">
        <v>363</v>
      </c>
      <c r="FF1" s="3" t="s">
        <v>366</v>
      </c>
      <c r="FG1" s="3" t="s">
        <v>592</v>
      </c>
      <c r="FH1" s="3" t="s">
        <v>593</v>
      </c>
      <c r="FI1" s="3" t="s">
        <v>594</v>
      </c>
      <c r="FJ1" s="3" t="s">
        <v>595</v>
      </c>
      <c r="FK1" s="3" t="s">
        <v>365</v>
      </c>
      <c r="FL1" s="3" t="s">
        <v>596</v>
      </c>
      <c r="FM1" s="3" t="s">
        <v>221</v>
      </c>
      <c r="FN1" s="3" t="s">
        <v>222</v>
      </c>
      <c r="FO1" s="3" t="s">
        <v>223</v>
      </c>
      <c r="FP1" s="3" t="s">
        <v>31</v>
      </c>
      <c r="FQ1" s="3" t="s">
        <v>597</v>
      </c>
      <c r="FR1" s="3" t="s">
        <v>367</v>
      </c>
      <c r="FS1" s="3" t="s">
        <v>755</v>
      </c>
      <c r="FT1" s="3" t="s">
        <v>598</v>
      </c>
      <c r="FU1" s="3" t="s">
        <v>599</v>
      </c>
      <c r="FV1" s="3" t="s">
        <v>364</v>
      </c>
      <c r="FW1" s="3" t="s">
        <v>368</v>
      </c>
      <c r="FX1" s="3" t="s">
        <v>855</v>
      </c>
      <c r="FY1" s="3" t="s">
        <v>32</v>
      </c>
      <c r="FZ1" s="3" t="s">
        <v>33</v>
      </c>
      <c r="GA1" s="3" t="s">
        <v>856</v>
      </c>
      <c r="GB1" s="3" t="s">
        <v>756</v>
      </c>
      <c r="GC1" s="3" t="s">
        <v>757</v>
      </c>
      <c r="GD1" s="3" t="s">
        <v>600</v>
      </c>
      <c r="GE1" s="3" t="s">
        <v>601</v>
      </c>
      <c r="GF1" s="3" t="s">
        <v>602</v>
      </c>
      <c r="GG1" s="3" t="s">
        <v>603</v>
      </c>
      <c r="GH1" s="3" t="s">
        <v>604</v>
      </c>
      <c r="GI1" s="3" t="s">
        <v>369</v>
      </c>
      <c r="GJ1" s="3" t="s">
        <v>372</v>
      </c>
      <c r="GK1" s="3" t="s">
        <v>605</v>
      </c>
      <c r="GL1" s="3" t="s">
        <v>606</v>
      </c>
      <c r="GM1" s="3" t="s">
        <v>607</v>
      </c>
      <c r="GN1" s="3" t="s">
        <v>608</v>
      </c>
      <c r="GO1" s="3" t="s">
        <v>371</v>
      </c>
      <c r="GP1" s="3" t="s">
        <v>609</v>
      </c>
      <c r="GQ1" s="3" t="s">
        <v>227</v>
      </c>
      <c r="GR1" s="3" t="s">
        <v>228</v>
      </c>
      <c r="GS1" s="3" t="s">
        <v>229</v>
      </c>
      <c r="GT1" s="3" t="s">
        <v>34</v>
      </c>
      <c r="GU1" s="3" t="s">
        <v>610</v>
      </c>
      <c r="GV1" s="3" t="s">
        <v>373</v>
      </c>
      <c r="GW1" s="3" t="s">
        <v>758</v>
      </c>
      <c r="GX1" s="3" t="s">
        <v>611</v>
      </c>
      <c r="GY1" s="3" t="s">
        <v>612</v>
      </c>
      <c r="GZ1" s="3" t="s">
        <v>370</v>
      </c>
      <c r="HA1" s="3" t="s">
        <v>374</v>
      </c>
      <c r="HB1" s="3" t="s">
        <v>857</v>
      </c>
      <c r="HC1" s="3" t="s">
        <v>35</v>
      </c>
      <c r="HD1" s="3" t="s">
        <v>36</v>
      </c>
      <c r="HE1" s="3" t="s">
        <v>858</v>
      </c>
      <c r="HF1" s="3" t="s">
        <v>37</v>
      </c>
      <c r="HG1" s="3" t="s">
        <v>38</v>
      </c>
      <c r="HH1" s="3" t="s">
        <v>39</v>
      </c>
      <c r="HI1" s="1" t="s">
        <v>40</v>
      </c>
      <c r="HJ1" s="3" t="s">
        <v>759</v>
      </c>
      <c r="HK1" s="3" t="s">
        <v>760</v>
      </c>
      <c r="HL1" s="3" t="s">
        <v>375</v>
      </c>
      <c r="HM1" s="3" t="s">
        <v>613</v>
      </c>
      <c r="HN1" s="3" t="s">
        <v>614</v>
      </c>
      <c r="HO1" s="3" t="s">
        <v>615</v>
      </c>
      <c r="HP1" s="3" t="s">
        <v>616</v>
      </c>
      <c r="HQ1" s="3" t="s">
        <v>617</v>
      </c>
      <c r="HR1" s="3" t="s">
        <v>376</v>
      </c>
      <c r="HS1" s="3" t="s">
        <v>379</v>
      </c>
      <c r="HT1" s="3" t="s">
        <v>618</v>
      </c>
      <c r="HU1" s="3" t="s">
        <v>619</v>
      </c>
      <c r="HV1" s="3" t="s">
        <v>620</v>
      </c>
      <c r="HW1" s="3" t="s">
        <v>621</v>
      </c>
      <c r="HX1" s="3" t="s">
        <v>378</v>
      </c>
      <c r="HY1" s="3" t="s">
        <v>622</v>
      </c>
      <c r="HZ1" s="3" t="s">
        <v>233</v>
      </c>
      <c r="IA1" s="3" t="s">
        <v>234</v>
      </c>
      <c r="IB1" s="3" t="s">
        <v>235</v>
      </c>
      <c r="IC1" s="3" t="s">
        <v>41</v>
      </c>
      <c r="ID1" s="3" t="s">
        <v>623</v>
      </c>
      <c r="IE1" s="3" t="s">
        <v>381</v>
      </c>
      <c r="IF1" s="3" t="s">
        <v>761</v>
      </c>
      <c r="IG1" s="3" t="s">
        <v>624</v>
      </c>
      <c r="IH1" s="3" t="s">
        <v>625</v>
      </c>
      <c r="II1" s="3" t="s">
        <v>377</v>
      </c>
      <c r="IJ1" s="3" t="s">
        <v>382</v>
      </c>
      <c r="IK1" s="3" t="s">
        <v>380</v>
      </c>
      <c r="IL1" s="3" t="s">
        <v>859</v>
      </c>
      <c r="IM1" s="3" t="s">
        <v>42</v>
      </c>
      <c r="IN1" s="3" t="s">
        <v>43</v>
      </c>
      <c r="IO1" s="3" t="s">
        <v>383</v>
      </c>
      <c r="IP1" s="3" t="s">
        <v>762</v>
      </c>
      <c r="IQ1" s="3" t="s">
        <v>763</v>
      </c>
      <c r="IR1" s="3" t="s">
        <v>384</v>
      </c>
      <c r="IS1" s="3" t="s">
        <v>626</v>
      </c>
      <c r="IT1" s="3" t="s">
        <v>627</v>
      </c>
      <c r="IU1" s="3" t="s">
        <v>628</v>
      </c>
      <c r="IV1" s="3" t="s">
        <v>629</v>
      </c>
      <c r="IW1" s="3" t="s">
        <v>630</v>
      </c>
      <c r="IX1" s="3" t="s">
        <v>385</v>
      </c>
      <c r="IY1" s="3" t="s">
        <v>388</v>
      </c>
      <c r="IZ1" s="3" t="s">
        <v>631</v>
      </c>
      <c r="JA1" s="3" t="s">
        <v>632</v>
      </c>
      <c r="JB1" s="3" t="s">
        <v>633</v>
      </c>
      <c r="JC1" s="3" t="s">
        <v>634</v>
      </c>
      <c r="JD1" s="3" t="s">
        <v>387</v>
      </c>
      <c r="JE1" s="3" t="s">
        <v>635</v>
      </c>
      <c r="JF1" s="3" t="s">
        <v>239</v>
      </c>
      <c r="JG1" s="3" t="s">
        <v>240</v>
      </c>
      <c r="JH1" s="3" t="s">
        <v>241</v>
      </c>
      <c r="JI1" s="3" t="s">
        <v>44</v>
      </c>
      <c r="JJ1" s="3" t="s">
        <v>636</v>
      </c>
      <c r="JK1" s="3" t="s">
        <v>390</v>
      </c>
      <c r="JL1" s="3" t="s">
        <v>764</v>
      </c>
      <c r="JM1" s="3" t="s">
        <v>637</v>
      </c>
      <c r="JN1" s="3" t="s">
        <v>638</v>
      </c>
      <c r="JO1" s="3" t="s">
        <v>386</v>
      </c>
      <c r="JP1" s="3" t="s">
        <v>391</v>
      </c>
      <c r="JQ1" s="3" t="s">
        <v>389</v>
      </c>
      <c r="JR1" s="3" t="s">
        <v>860</v>
      </c>
      <c r="JS1" s="3" t="s">
        <v>45</v>
      </c>
      <c r="JT1" s="3" t="s">
        <v>46</v>
      </c>
      <c r="JU1" s="3" t="s">
        <v>392</v>
      </c>
      <c r="JV1" s="3" t="s">
        <v>47</v>
      </c>
      <c r="JW1" s="3" t="s">
        <v>48</v>
      </c>
      <c r="JX1" s="3" t="s">
        <v>49</v>
      </c>
      <c r="JY1" s="1" t="s">
        <v>50</v>
      </c>
      <c r="JZ1" s="3" t="s">
        <v>765</v>
      </c>
      <c r="KA1" s="3" t="s">
        <v>766</v>
      </c>
      <c r="KB1" s="3" t="s">
        <v>393</v>
      </c>
      <c r="KC1" s="3" t="s">
        <v>639</v>
      </c>
      <c r="KD1" s="3" t="s">
        <v>640</v>
      </c>
      <c r="KE1" s="3" t="s">
        <v>641</v>
      </c>
      <c r="KF1" s="3" t="s">
        <v>642</v>
      </c>
      <c r="KG1" s="3" t="s">
        <v>643</v>
      </c>
      <c r="KH1" s="3" t="s">
        <v>644</v>
      </c>
      <c r="KI1" s="3" t="s">
        <v>645</v>
      </c>
      <c r="KJ1" s="3" t="s">
        <v>646</v>
      </c>
      <c r="KK1" s="3" t="s">
        <v>395</v>
      </c>
      <c r="KL1" s="3" t="s">
        <v>245</v>
      </c>
      <c r="KM1" s="3" t="s">
        <v>246</v>
      </c>
      <c r="KN1" s="3" t="s">
        <v>247</v>
      </c>
      <c r="KO1" s="3" t="s">
        <v>51</v>
      </c>
      <c r="KP1" s="3" t="s">
        <v>647</v>
      </c>
      <c r="KQ1" s="3" t="s">
        <v>648</v>
      </c>
      <c r="KR1" s="3" t="s">
        <v>394</v>
      </c>
      <c r="KS1" s="3" t="s">
        <v>397</v>
      </c>
      <c r="KT1" s="3" t="s">
        <v>396</v>
      </c>
      <c r="KU1" s="3" t="s">
        <v>861</v>
      </c>
      <c r="KV1" s="3" t="s">
        <v>52</v>
      </c>
      <c r="KW1" s="3" t="s">
        <v>53</v>
      </c>
      <c r="KX1" s="3" t="s">
        <v>398</v>
      </c>
      <c r="KY1" s="3" t="s">
        <v>767</v>
      </c>
      <c r="KZ1" s="3" t="s">
        <v>768</v>
      </c>
      <c r="LA1" s="3" t="s">
        <v>399</v>
      </c>
      <c r="LB1" s="3" t="s">
        <v>649</v>
      </c>
      <c r="LC1" s="3" t="s">
        <v>650</v>
      </c>
      <c r="LD1" s="3" t="s">
        <v>651</v>
      </c>
      <c r="LE1" s="3" t="s">
        <v>652</v>
      </c>
      <c r="LF1" s="3" t="s">
        <v>653</v>
      </c>
      <c r="LG1" s="3" t="s">
        <v>654</v>
      </c>
      <c r="LH1" s="3" t="s">
        <v>655</v>
      </c>
      <c r="LI1" s="3" t="s">
        <v>656</v>
      </c>
      <c r="LJ1" s="3" t="s">
        <v>401</v>
      </c>
      <c r="LK1" s="3" t="s">
        <v>251</v>
      </c>
      <c r="LL1" s="3" t="s">
        <v>252</v>
      </c>
      <c r="LM1" s="3" t="s">
        <v>253</v>
      </c>
      <c r="LN1" s="3" t="s">
        <v>54</v>
      </c>
      <c r="LO1" s="3" t="s">
        <v>657</v>
      </c>
      <c r="LP1" s="3" t="s">
        <v>658</v>
      </c>
      <c r="LQ1" s="3" t="s">
        <v>400</v>
      </c>
      <c r="LR1" s="3" t="s">
        <v>403</v>
      </c>
      <c r="LS1" s="3" t="s">
        <v>402</v>
      </c>
      <c r="LT1" s="3" t="s">
        <v>862</v>
      </c>
      <c r="LU1" s="3" t="s">
        <v>55</v>
      </c>
      <c r="LV1" s="3" t="s">
        <v>56</v>
      </c>
      <c r="LW1" s="3" t="s">
        <v>404</v>
      </c>
      <c r="LX1" s="3" t="s">
        <v>57</v>
      </c>
      <c r="LY1" s="3" t="s">
        <v>58</v>
      </c>
      <c r="LZ1" s="3" t="s">
        <v>59</v>
      </c>
      <c r="MA1" s="1" t="s">
        <v>60</v>
      </c>
      <c r="MB1" s="3" t="s">
        <v>405</v>
      </c>
      <c r="MC1" s="3" t="s">
        <v>659</v>
      </c>
      <c r="MD1" s="3" t="s">
        <v>660</v>
      </c>
      <c r="ME1" s="3" t="s">
        <v>661</v>
      </c>
      <c r="MF1" s="3" t="s">
        <v>662</v>
      </c>
      <c r="MG1" s="3" t="s">
        <v>663</v>
      </c>
      <c r="MH1" s="3" t="s">
        <v>664</v>
      </c>
      <c r="MI1" s="3" t="s">
        <v>665</v>
      </c>
      <c r="MJ1" s="3" t="s">
        <v>666</v>
      </c>
      <c r="MK1" s="3" t="s">
        <v>407</v>
      </c>
      <c r="ML1" s="3" t="s">
        <v>256</v>
      </c>
      <c r="MM1" s="3" t="s">
        <v>257</v>
      </c>
      <c r="MN1" s="3" t="s">
        <v>61</v>
      </c>
      <c r="MO1" s="3" t="s">
        <v>667</v>
      </c>
      <c r="MP1" s="3" t="s">
        <v>668</v>
      </c>
      <c r="MQ1" s="3" t="s">
        <v>406</v>
      </c>
      <c r="MR1" s="3" t="s">
        <v>409</v>
      </c>
      <c r="MS1" s="3" t="s">
        <v>408</v>
      </c>
      <c r="MT1" s="3" t="s">
        <v>863</v>
      </c>
      <c r="MU1" s="3" t="s">
        <v>62</v>
      </c>
      <c r="MV1" s="3" t="s">
        <v>63</v>
      </c>
      <c r="MW1" s="3" t="s">
        <v>410</v>
      </c>
      <c r="MX1" s="3" t="s">
        <v>411</v>
      </c>
      <c r="MY1" s="3" t="s">
        <v>412</v>
      </c>
      <c r="MZ1" s="3" t="s">
        <v>669</v>
      </c>
      <c r="NA1" s="3" t="s">
        <v>670</v>
      </c>
      <c r="NB1" s="3" t="s">
        <v>671</v>
      </c>
      <c r="NC1" s="3" t="s">
        <v>672</v>
      </c>
      <c r="ND1" s="3" t="s">
        <v>673</v>
      </c>
      <c r="NE1" s="3" t="s">
        <v>674</v>
      </c>
      <c r="NF1" s="3" t="s">
        <v>675</v>
      </c>
      <c r="NG1" s="3" t="s">
        <v>676</v>
      </c>
      <c r="NH1" s="3" t="s">
        <v>414</v>
      </c>
      <c r="NI1" s="3" t="s">
        <v>260</v>
      </c>
      <c r="NJ1" s="3" t="s">
        <v>261</v>
      </c>
      <c r="NK1" s="3" t="s">
        <v>64</v>
      </c>
      <c r="NL1" s="3" t="s">
        <v>677</v>
      </c>
      <c r="NM1" s="3" t="s">
        <v>678</v>
      </c>
      <c r="NN1" s="3" t="s">
        <v>413</v>
      </c>
      <c r="NO1" s="3" t="s">
        <v>416</v>
      </c>
      <c r="NP1" s="3" t="s">
        <v>415</v>
      </c>
      <c r="NQ1" s="3" t="s">
        <v>864</v>
      </c>
      <c r="NR1" s="3" t="s">
        <v>65</v>
      </c>
      <c r="NS1" s="3" t="s">
        <v>66</v>
      </c>
      <c r="NT1" s="3" t="s">
        <v>417</v>
      </c>
      <c r="NU1" s="3" t="s">
        <v>418</v>
      </c>
      <c r="NV1" s="3" t="s">
        <v>67</v>
      </c>
      <c r="NW1" s="3" t="s">
        <v>68</v>
      </c>
      <c r="NX1" s="3" t="s">
        <v>69</v>
      </c>
      <c r="NY1" s="1" t="s">
        <v>70</v>
      </c>
      <c r="NZ1" s="3" t="s">
        <v>419</v>
      </c>
      <c r="OA1" s="3" t="s">
        <v>679</v>
      </c>
      <c r="OB1" s="3" t="s">
        <v>680</v>
      </c>
      <c r="OC1" s="3" t="s">
        <v>681</v>
      </c>
      <c r="OD1" s="3" t="s">
        <v>682</v>
      </c>
      <c r="OE1" s="3" t="s">
        <v>683</v>
      </c>
      <c r="OF1" s="3" t="s">
        <v>684</v>
      </c>
      <c r="OG1" s="3" t="s">
        <v>685</v>
      </c>
      <c r="OH1" s="3" t="s">
        <v>421</v>
      </c>
      <c r="OI1" s="3" t="s">
        <v>264</v>
      </c>
      <c r="OJ1" s="3" t="s">
        <v>265</v>
      </c>
      <c r="OK1" s="3" t="s">
        <v>71</v>
      </c>
      <c r="OL1" s="3" t="s">
        <v>686</v>
      </c>
      <c r="OM1" s="3" t="s">
        <v>687</v>
      </c>
      <c r="ON1" s="3" t="s">
        <v>420</v>
      </c>
      <c r="OO1" s="3" t="s">
        <v>423</v>
      </c>
      <c r="OP1" s="3" t="s">
        <v>422</v>
      </c>
      <c r="OQ1" s="3" t="s">
        <v>865</v>
      </c>
      <c r="OR1" s="3" t="s">
        <v>72</v>
      </c>
      <c r="OS1" s="3" t="s">
        <v>73</v>
      </c>
      <c r="OT1" s="3" t="s">
        <v>424</v>
      </c>
      <c r="OU1" s="3" t="s">
        <v>425</v>
      </c>
      <c r="OV1" s="3" t="s">
        <v>426</v>
      </c>
      <c r="OW1" s="3" t="s">
        <v>688</v>
      </c>
      <c r="OX1" s="3" t="s">
        <v>689</v>
      </c>
      <c r="OY1" s="3" t="s">
        <v>690</v>
      </c>
      <c r="OZ1" s="3" t="s">
        <v>691</v>
      </c>
      <c r="PA1" s="3" t="s">
        <v>692</v>
      </c>
      <c r="PB1" s="3" t="s">
        <v>693</v>
      </c>
      <c r="PC1" s="3" t="s">
        <v>694</v>
      </c>
      <c r="PD1" s="3" t="s">
        <v>428</v>
      </c>
      <c r="PE1" s="3" t="s">
        <v>268</v>
      </c>
      <c r="PF1" s="3" t="s">
        <v>269</v>
      </c>
      <c r="PG1" s="3" t="s">
        <v>74</v>
      </c>
      <c r="PH1" s="3" t="s">
        <v>695</v>
      </c>
      <c r="PI1" s="3" t="s">
        <v>696</v>
      </c>
      <c r="PJ1" s="3" t="s">
        <v>427</v>
      </c>
      <c r="PK1" s="3" t="s">
        <v>430</v>
      </c>
      <c r="PL1" s="3" t="s">
        <v>429</v>
      </c>
      <c r="PM1" s="3" t="s">
        <v>866</v>
      </c>
      <c r="PN1" s="3" t="s">
        <v>75</v>
      </c>
      <c r="PO1" s="3" t="s">
        <v>76</v>
      </c>
      <c r="PP1" s="3" t="s">
        <v>431</v>
      </c>
      <c r="PQ1" s="3" t="s">
        <v>432</v>
      </c>
      <c r="PR1" s="3" t="s">
        <v>77</v>
      </c>
      <c r="PS1" s="3" t="s">
        <v>78</v>
      </c>
      <c r="PT1" s="3" t="s">
        <v>79</v>
      </c>
      <c r="PU1" s="1" t="s">
        <v>80</v>
      </c>
      <c r="PV1" s="3" t="s">
        <v>433</v>
      </c>
      <c r="PW1" s="3" t="s">
        <v>697</v>
      </c>
      <c r="PX1" s="3" t="s">
        <v>698</v>
      </c>
      <c r="PY1" s="3" t="s">
        <v>699</v>
      </c>
      <c r="PZ1" s="3" t="s">
        <v>700</v>
      </c>
      <c r="QA1" s="3" t="s">
        <v>435</v>
      </c>
      <c r="QB1" s="3" t="s">
        <v>272</v>
      </c>
      <c r="QC1" s="3" t="s">
        <v>273</v>
      </c>
      <c r="QD1" s="3" t="s">
        <v>81</v>
      </c>
      <c r="QE1" s="3" t="s">
        <v>434</v>
      </c>
      <c r="QF1" s="3" t="s">
        <v>437</v>
      </c>
      <c r="QG1" s="3" t="s">
        <v>436</v>
      </c>
      <c r="QH1" s="3" t="s">
        <v>867</v>
      </c>
      <c r="QI1" s="3" t="s">
        <v>82</v>
      </c>
      <c r="QJ1" s="3" t="s">
        <v>83</v>
      </c>
      <c r="QK1" s="3" t="s">
        <v>438</v>
      </c>
      <c r="QL1" s="3" t="s">
        <v>439</v>
      </c>
      <c r="QM1" s="3" t="s">
        <v>440</v>
      </c>
      <c r="QN1" s="3" t="s">
        <v>701</v>
      </c>
      <c r="QO1" s="3" t="s">
        <v>702</v>
      </c>
      <c r="QP1" s="3" t="s">
        <v>703</v>
      </c>
      <c r="QQ1" s="3" t="s">
        <v>704</v>
      </c>
      <c r="QR1" s="3" t="s">
        <v>442</v>
      </c>
      <c r="QS1" s="3" t="s">
        <v>276</v>
      </c>
      <c r="QT1" s="3" t="s">
        <v>277</v>
      </c>
      <c r="QU1" s="3" t="s">
        <v>84</v>
      </c>
      <c r="QV1" s="3" t="s">
        <v>441</v>
      </c>
      <c r="QW1" s="3" t="s">
        <v>444</v>
      </c>
      <c r="QX1" s="3" t="s">
        <v>443</v>
      </c>
      <c r="QY1" s="3" t="s">
        <v>868</v>
      </c>
      <c r="QZ1" s="3" t="s">
        <v>85</v>
      </c>
      <c r="RA1" s="3" t="s">
        <v>86</v>
      </c>
      <c r="RB1" s="3" t="s">
        <v>445</v>
      </c>
      <c r="RC1" s="3" t="s">
        <v>446</v>
      </c>
      <c r="RD1" s="3" t="s">
        <v>87</v>
      </c>
      <c r="RE1" s="3" t="s">
        <v>88</v>
      </c>
      <c r="RF1" s="3" t="s">
        <v>89</v>
      </c>
      <c r="RG1" s="1" t="s">
        <v>90</v>
      </c>
      <c r="RH1" s="3" t="s">
        <v>447</v>
      </c>
      <c r="RI1" s="3" t="s">
        <v>705</v>
      </c>
      <c r="RJ1" s="3" t="s">
        <v>449</v>
      </c>
      <c r="RK1" s="3" t="s">
        <v>279</v>
      </c>
      <c r="RL1" s="3" t="s">
        <v>280</v>
      </c>
      <c r="RM1" s="3" t="s">
        <v>91</v>
      </c>
      <c r="RN1" s="3" t="s">
        <v>448</v>
      </c>
      <c r="RO1" s="3" t="s">
        <v>451</v>
      </c>
      <c r="RP1" s="3" t="s">
        <v>450</v>
      </c>
      <c r="RQ1" s="3" t="s">
        <v>869</v>
      </c>
      <c r="RR1" s="3" t="s">
        <v>92</v>
      </c>
      <c r="RS1" s="3" t="s">
        <v>93</v>
      </c>
      <c r="RT1" s="3" t="s">
        <v>452</v>
      </c>
      <c r="RU1" s="3" t="s">
        <v>453</v>
      </c>
      <c r="RV1" s="3" t="s">
        <v>454</v>
      </c>
      <c r="RW1" s="3" t="s">
        <v>706</v>
      </c>
      <c r="RX1" s="3" t="s">
        <v>456</v>
      </c>
      <c r="RY1" s="3" t="s">
        <v>282</v>
      </c>
      <c r="RZ1" s="3" t="s">
        <v>283</v>
      </c>
      <c r="SA1" s="3" t="s">
        <v>94</v>
      </c>
      <c r="SB1" s="3" t="s">
        <v>455</v>
      </c>
      <c r="SC1" s="3" t="s">
        <v>458</v>
      </c>
      <c r="SD1" s="3" t="s">
        <v>457</v>
      </c>
      <c r="SE1" s="3" t="s">
        <v>870</v>
      </c>
      <c r="SF1" s="3" t="s">
        <v>95</v>
      </c>
      <c r="SG1" s="3" t="s">
        <v>96</v>
      </c>
      <c r="SH1" s="3" t="s">
        <v>459</v>
      </c>
      <c r="SI1" s="3" t="s">
        <v>460</v>
      </c>
      <c r="SJ1" s="3" t="s">
        <v>97</v>
      </c>
      <c r="SK1" s="3" t="s">
        <v>98</v>
      </c>
    </row>
    <row x14ac:dyDescent="0.25" r="2" customHeight="1" ht="18">
      <c r="A2" s="1" t="s">
        <v>871</v>
      </c>
      <c r="B2" s="4">
        <v>48516</v>
      </c>
      <c r="C2" s="2" t="s">
        <v>872</v>
      </c>
      <c r="D2" s="4">
        <v>0</v>
      </c>
      <c r="E2" s="4">
        <v>0</v>
      </c>
      <c r="F2" s="4">
        <v>38640</v>
      </c>
      <c r="G2" s="4">
        <v>3360</v>
      </c>
      <c r="H2" s="4">
        <v>47040</v>
      </c>
      <c r="I2" s="4">
        <v>2160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3398388</v>
      </c>
      <c r="R2" s="4">
        <v>242827</v>
      </c>
      <c r="S2" s="4">
        <v>5134416</v>
      </c>
      <c r="T2" s="4">
        <v>190080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91200</v>
      </c>
      <c r="AA2" s="4">
        <v>8965711</v>
      </c>
      <c r="AB2" s="4">
        <v>61524</v>
      </c>
      <c r="AC2" s="1" t="s">
        <v>873</v>
      </c>
      <c r="AD2" s="4">
        <v>0</v>
      </c>
      <c r="AE2" s="4">
        <v>0</v>
      </c>
      <c r="AF2" s="4">
        <v>39600</v>
      </c>
      <c r="AG2" s="4">
        <v>7920</v>
      </c>
      <c r="AH2" s="4">
        <v>240</v>
      </c>
      <c r="AI2" s="4">
        <v>64320</v>
      </c>
      <c r="AJ2" s="4">
        <v>3120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3482820</v>
      </c>
      <c r="AV2" s="4">
        <v>572378</v>
      </c>
      <c r="AW2" s="4">
        <v>19344</v>
      </c>
      <c r="AX2" s="4">
        <v>7020528</v>
      </c>
      <c r="AY2" s="4">
        <v>274560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115200</v>
      </c>
      <c r="BI2" s="4">
        <v>11369630</v>
      </c>
      <c r="BJ2" s="4">
        <v>34504</v>
      </c>
      <c r="BK2" s="1" t="s">
        <v>874</v>
      </c>
      <c r="BL2" s="4">
        <v>0</v>
      </c>
      <c r="BM2" s="4">
        <v>24960</v>
      </c>
      <c r="BN2" s="4">
        <v>4080</v>
      </c>
      <c r="BO2" s="4">
        <v>240</v>
      </c>
      <c r="BP2" s="4">
        <v>35040</v>
      </c>
      <c r="BQ2" s="4">
        <v>480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2195232</v>
      </c>
      <c r="CB2" s="4">
        <v>294861</v>
      </c>
      <c r="CC2" s="4">
        <v>19344</v>
      </c>
      <c r="CD2" s="4">
        <v>3824616</v>
      </c>
      <c r="CE2" s="4">
        <v>42240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64800</v>
      </c>
      <c r="CO2" s="4">
        <v>6376293</v>
      </c>
      <c r="CP2" s="4">
        <v>82794</v>
      </c>
      <c r="CQ2" s="1" t="s">
        <v>109</v>
      </c>
      <c r="CR2" s="4">
        <v>0</v>
      </c>
      <c r="CS2" s="4">
        <v>0</v>
      </c>
      <c r="CT2" s="4">
        <v>50400</v>
      </c>
      <c r="CU2" s="4">
        <v>9840</v>
      </c>
      <c r="CV2" s="4">
        <v>480</v>
      </c>
      <c r="CW2" s="4">
        <v>72960</v>
      </c>
      <c r="CX2" s="4">
        <v>1200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5040</v>
      </c>
      <c r="DL2" s="4">
        <v>0</v>
      </c>
      <c r="DM2" s="4">
        <v>1680</v>
      </c>
      <c r="DN2" s="4">
        <v>0</v>
      </c>
      <c r="DO2" s="4">
        <v>43200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4432680</v>
      </c>
      <c r="DV2" s="4">
        <v>711136</v>
      </c>
      <c r="DW2" s="4">
        <v>38688</v>
      </c>
      <c r="DX2" s="4">
        <v>7963584</v>
      </c>
      <c r="DY2" s="4">
        <v>105600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238694</v>
      </c>
      <c r="EM2" s="4">
        <v>0</v>
      </c>
      <c r="EN2" s="4">
        <v>9767</v>
      </c>
      <c r="EO2" s="4">
        <v>0</v>
      </c>
      <c r="EP2" s="4">
        <v>2013120</v>
      </c>
      <c r="EQ2" s="4">
        <v>0</v>
      </c>
      <c r="ER2" s="4">
        <v>0</v>
      </c>
      <c r="ES2" s="4">
        <v>0</v>
      </c>
      <c r="ET2" s="4">
        <v>184800</v>
      </c>
      <c r="EU2" s="4">
        <v>15513270</v>
      </c>
      <c r="EV2" s="4">
        <v>82794</v>
      </c>
      <c r="EW2" s="1" t="s">
        <v>109</v>
      </c>
      <c r="EX2" s="4">
        <v>0</v>
      </c>
      <c r="EY2" s="4">
        <v>0</v>
      </c>
      <c r="EZ2" s="4">
        <v>51360</v>
      </c>
      <c r="FA2" s="4">
        <v>9840</v>
      </c>
      <c r="FB2" s="4">
        <v>0</v>
      </c>
      <c r="FC2" s="4">
        <v>75840</v>
      </c>
      <c r="FD2" s="4">
        <v>1440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4800</v>
      </c>
      <c r="FR2" s="4">
        <v>0</v>
      </c>
      <c r="FS2" s="4">
        <v>480</v>
      </c>
      <c r="FT2" s="4">
        <v>0</v>
      </c>
      <c r="FU2" s="4">
        <v>34560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4517112</v>
      </c>
      <c r="GE2" s="4">
        <v>711136</v>
      </c>
      <c r="GF2" s="4">
        <v>0</v>
      </c>
      <c r="GG2" s="4">
        <v>8277936</v>
      </c>
      <c r="GH2" s="4">
        <v>126720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227328</v>
      </c>
      <c r="GV2" s="4">
        <v>0</v>
      </c>
      <c r="GW2" s="4">
        <v>2790</v>
      </c>
      <c r="GX2" s="4">
        <v>0</v>
      </c>
      <c r="GY2" s="4">
        <v>1610496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178320</v>
      </c>
      <c r="HG2" s="4">
        <v>15473519</v>
      </c>
      <c r="HH2" s="4">
        <v>82798</v>
      </c>
      <c r="HI2" s="1" t="s">
        <v>467</v>
      </c>
      <c r="HJ2" s="4">
        <v>0</v>
      </c>
      <c r="HK2" s="4">
        <v>0</v>
      </c>
      <c r="HL2" s="4">
        <v>0</v>
      </c>
      <c r="HM2" s="4">
        <v>49920</v>
      </c>
      <c r="HN2" s="4">
        <v>9840</v>
      </c>
      <c r="HO2" s="4">
        <v>0</v>
      </c>
      <c r="HP2" s="4">
        <v>77520</v>
      </c>
      <c r="HQ2" s="4">
        <v>1440</v>
      </c>
      <c r="HR2" s="4">
        <v>0</v>
      </c>
      <c r="HS2" s="4">
        <v>0</v>
      </c>
      <c r="HT2" s="4">
        <v>0</v>
      </c>
      <c r="HU2" s="4">
        <v>0</v>
      </c>
      <c r="HV2" s="4">
        <v>0</v>
      </c>
      <c r="HW2" s="4">
        <v>0</v>
      </c>
      <c r="HX2" s="4">
        <v>0</v>
      </c>
      <c r="HY2" s="4">
        <v>0</v>
      </c>
      <c r="HZ2" s="4">
        <v>0</v>
      </c>
      <c r="IA2" s="4">
        <v>0</v>
      </c>
      <c r="IB2" s="4">
        <v>0</v>
      </c>
      <c r="IC2" s="4">
        <v>0</v>
      </c>
      <c r="ID2" s="4">
        <v>4560</v>
      </c>
      <c r="IE2" s="4">
        <v>0</v>
      </c>
      <c r="IF2" s="4">
        <v>1440</v>
      </c>
      <c r="IG2" s="4">
        <v>0</v>
      </c>
      <c r="IH2" s="4">
        <v>33360</v>
      </c>
      <c r="II2" s="4">
        <v>0</v>
      </c>
      <c r="IJ2" s="4">
        <v>0</v>
      </c>
      <c r="IK2" s="4">
        <v>0</v>
      </c>
      <c r="IL2" s="4">
        <v>0</v>
      </c>
      <c r="IM2" s="4">
        <v>0</v>
      </c>
      <c r="IN2" s="4">
        <v>0</v>
      </c>
      <c r="IO2" s="4">
        <v>0</v>
      </c>
      <c r="IP2" s="4">
        <v>0</v>
      </c>
      <c r="IQ2" s="4">
        <v>0</v>
      </c>
      <c r="IR2" s="4">
        <v>0</v>
      </c>
      <c r="IS2" s="4">
        <v>4390464</v>
      </c>
      <c r="IT2" s="4">
        <v>711136</v>
      </c>
      <c r="IU2" s="4">
        <v>0</v>
      </c>
      <c r="IV2" s="4">
        <v>8461308</v>
      </c>
      <c r="IW2" s="4">
        <v>126720</v>
      </c>
      <c r="IX2" s="4">
        <v>0</v>
      </c>
      <c r="IY2" s="4">
        <v>0</v>
      </c>
      <c r="IZ2" s="4">
        <v>0</v>
      </c>
      <c r="JA2" s="4">
        <v>0</v>
      </c>
      <c r="JB2" s="4">
        <v>0</v>
      </c>
      <c r="JC2" s="4">
        <v>0</v>
      </c>
      <c r="JD2" s="4">
        <v>0</v>
      </c>
      <c r="JE2" s="4">
        <v>0</v>
      </c>
      <c r="JF2" s="4">
        <v>0</v>
      </c>
      <c r="JG2" s="4">
        <v>0</v>
      </c>
      <c r="JH2" s="4">
        <v>0</v>
      </c>
      <c r="JI2" s="4">
        <v>0</v>
      </c>
      <c r="JJ2" s="4">
        <v>215961</v>
      </c>
      <c r="JK2" s="4">
        <v>0</v>
      </c>
      <c r="JL2" s="4">
        <v>8372</v>
      </c>
      <c r="JM2" s="4">
        <v>0</v>
      </c>
      <c r="JN2" s="4">
        <v>1554576</v>
      </c>
      <c r="JO2" s="4">
        <v>0</v>
      </c>
      <c r="JP2" s="4">
        <v>0</v>
      </c>
      <c r="JQ2" s="4">
        <v>0</v>
      </c>
      <c r="JR2" s="4">
        <v>0</v>
      </c>
      <c r="JS2" s="4">
        <v>0</v>
      </c>
      <c r="JT2" s="4">
        <v>0</v>
      </c>
      <c r="JU2" s="4">
        <v>0</v>
      </c>
      <c r="JV2" s="4">
        <v>178080</v>
      </c>
      <c r="JW2" s="4">
        <v>15468538</v>
      </c>
      <c r="JX2" s="4">
        <v>82799</v>
      </c>
      <c r="JY2" s="1" t="s">
        <v>467</v>
      </c>
      <c r="JZ2" s="4">
        <v>0</v>
      </c>
      <c r="KA2" s="4">
        <v>0</v>
      </c>
      <c r="KB2" s="4">
        <v>0</v>
      </c>
      <c r="KC2" s="4">
        <v>47520</v>
      </c>
      <c r="KD2" s="4">
        <v>9840</v>
      </c>
      <c r="KE2" s="4">
        <v>77040</v>
      </c>
      <c r="KF2" s="4">
        <v>1680</v>
      </c>
      <c r="KG2" s="4">
        <v>0</v>
      </c>
      <c r="KH2" s="4">
        <v>0</v>
      </c>
      <c r="KI2" s="4">
        <v>0</v>
      </c>
      <c r="KJ2" s="4">
        <v>0</v>
      </c>
      <c r="KK2" s="4">
        <v>0</v>
      </c>
      <c r="KL2" s="4">
        <v>0</v>
      </c>
      <c r="KM2" s="4">
        <v>0</v>
      </c>
      <c r="KN2" s="4">
        <v>0</v>
      </c>
      <c r="KO2" s="4">
        <v>0</v>
      </c>
      <c r="KP2" s="4">
        <v>0</v>
      </c>
      <c r="KQ2" s="4">
        <v>43920</v>
      </c>
      <c r="KR2" s="4">
        <v>0</v>
      </c>
      <c r="KS2" s="4">
        <v>0</v>
      </c>
      <c r="KT2" s="4">
        <v>0</v>
      </c>
      <c r="KU2" s="4">
        <v>0</v>
      </c>
      <c r="KV2" s="4">
        <v>0</v>
      </c>
      <c r="KW2" s="4">
        <v>0</v>
      </c>
      <c r="KX2" s="4">
        <v>0</v>
      </c>
      <c r="KY2" s="4">
        <v>0</v>
      </c>
      <c r="KZ2" s="4">
        <v>0</v>
      </c>
      <c r="LA2" s="4">
        <v>0</v>
      </c>
      <c r="LB2" s="4">
        <v>4179384</v>
      </c>
      <c r="LC2" s="4">
        <v>711136</v>
      </c>
      <c r="LD2" s="4">
        <v>8408916</v>
      </c>
      <c r="LE2" s="4">
        <v>147840</v>
      </c>
      <c r="LF2" s="4">
        <v>0</v>
      </c>
      <c r="LG2" s="4">
        <v>0</v>
      </c>
      <c r="LH2" s="4">
        <v>0</v>
      </c>
      <c r="LI2" s="4">
        <v>0</v>
      </c>
      <c r="LJ2" s="4">
        <v>0</v>
      </c>
      <c r="LK2" s="4">
        <v>0</v>
      </c>
      <c r="LL2" s="4">
        <v>0</v>
      </c>
      <c r="LM2" s="4">
        <v>0</v>
      </c>
      <c r="LN2" s="4">
        <v>0</v>
      </c>
      <c r="LO2" s="4">
        <v>0</v>
      </c>
      <c r="LP2" s="4">
        <v>2046672</v>
      </c>
      <c r="LQ2" s="4">
        <v>0</v>
      </c>
      <c r="LR2" s="4">
        <v>0</v>
      </c>
      <c r="LS2" s="4">
        <v>0</v>
      </c>
      <c r="LT2" s="4">
        <v>0</v>
      </c>
      <c r="LU2" s="4">
        <v>0</v>
      </c>
      <c r="LV2" s="4">
        <v>0</v>
      </c>
      <c r="LW2" s="4">
        <v>0</v>
      </c>
      <c r="LX2" s="4">
        <v>180000</v>
      </c>
      <c r="LY2" s="4">
        <v>15493948</v>
      </c>
      <c r="LZ2" s="4">
        <v>82760</v>
      </c>
      <c r="MA2" s="1" t="s">
        <v>485</v>
      </c>
      <c r="MB2" s="4">
        <v>0</v>
      </c>
      <c r="MC2" s="4">
        <v>36960</v>
      </c>
      <c r="MD2" s="4">
        <v>9840</v>
      </c>
      <c r="ME2" s="4">
        <v>81120</v>
      </c>
      <c r="MF2" s="4">
        <v>1680</v>
      </c>
      <c r="MG2" s="4">
        <v>0</v>
      </c>
      <c r="MH2" s="4">
        <v>0</v>
      </c>
      <c r="MI2" s="4">
        <v>0</v>
      </c>
      <c r="MJ2" s="4">
        <v>0</v>
      </c>
      <c r="MK2" s="4">
        <v>0</v>
      </c>
      <c r="ML2" s="4">
        <v>0</v>
      </c>
      <c r="MM2" s="4">
        <v>0</v>
      </c>
      <c r="MN2" s="4">
        <v>0</v>
      </c>
      <c r="MO2" s="4">
        <v>0</v>
      </c>
      <c r="MP2" s="4">
        <v>55200</v>
      </c>
      <c r="MQ2" s="4">
        <v>0</v>
      </c>
      <c r="MR2" s="4">
        <v>0</v>
      </c>
      <c r="MS2" s="4">
        <v>0</v>
      </c>
      <c r="MT2" s="4">
        <v>0</v>
      </c>
      <c r="MU2" s="4">
        <v>0</v>
      </c>
      <c r="MV2" s="4">
        <v>0</v>
      </c>
      <c r="MW2" s="4">
        <v>0</v>
      </c>
      <c r="MX2" s="4">
        <v>0</v>
      </c>
      <c r="MY2" s="4">
        <v>0</v>
      </c>
      <c r="MZ2" s="4">
        <v>3250632</v>
      </c>
      <c r="NA2" s="4">
        <v>711136</v>
      </c>
      <c r="NB2" s="4">
        <v>8854248</v>
      </c>
      <c r="NC2" s="4">
        <v>147840</v>
      </c>
      <c r="ND2" s="4">
        <v>0</v>
      </c>
      <c r="NE2" s="4">
        <v>0</v>
      </c>
      <c r="NF2" s="4">
        <v>0</v>
      </c>
      <c r="NG2" s="4">
        <v>0</v>
      </c>
      <c r="NH2" s="4">
        <v>0</v>
      </c>
      <c r="NI2" s="4">
        <v>0</v>
      </c>
      <c r="NJ2" s="4">
        <v>0</v>
      </c>
      <c r="NK2" s="4">
        <v>0</v>
      </c>
      <c r="NL2" s="4">
        <v>0</v>
      </c>
      <c r="NM2" s="4">
        <v>2572320</v>
      </c>
      <c r="NN2" s="4">
        <v>0</v>
      </c>
      <c r="NO2" s="4">
        <v>0</v>
      </c>
      <c r="NP2" s="4">
        <v>0</v>
      </c>
      <c r="NQ2" s="4">
        <v>0</v>
      </c>
      <c r="NR2" s="4">
        <v>0</v>
      </c>
      <c r="NS2" s="4">
        <v>0</v>
      </c>
      <c r="NT2" s="4">
        <v>0</v>
      </c>
      <c r="NU2" s="4">
        <v>0</v>
      </c>
      <c r="NV2" s="4">
        <v>184800</v>
      </c>
      <c r="NW2" s="4">
        <v>15536176</v>
      </c>
      <c r="NX2" s="4">
        <v>82748</v>
      </c>
      <c r="NY2" s="1" t="s">
        <v>783</v>
      </c>
      <c r="NZ2" s="4">
        <v>0</v>
      </c>
      <c r="OA2" s="4">
        <v>31200</v>
      </c>
      <c r="OB2" s="4">
        <v>9840</v>
      </c>
      <c r="OC2" s="4">
        <v>84720</v>
      </c>
      <c r="OD2" s="4">
        <v>1680</v>
      </c>
      <c r="OE2" s="4">
        <v>0</v>
      </c>
      <c r="OF2" s="4">
        <v>0</v>
      </c>
      <c r="OG2" s="4">
        <v>0</v>
      </c>
      <c r="OH2" s="4">
        <v>0</v>
      </c>
      <c r="OI2" s="4">
        <v>0</v>
      </c>
      <c r="OJ2" s="4">
        <v>0</v>
      </c>
      <c r="OK2" s="4">
        <v>0</v>
      </c>
      <c r="OL2" s="4">
        <v>0</v>
      </c>
      <c r="OM2" s="4">
        <v>57840</v>
      </c>
      <c r="ON2" s="4">
        <v>0</v>
      </c>
      <c r="OO2" s="4">
        <v>0</v>
      </c>
      <c r="OP2" s="4">
        <v>0</v>
      </c>
      <c r="OQ2" s="4">
        <v>0</v>
      </c>
      <c r="OR2" s="4">
        <v>0</v>
      </c>
      <c r="OS2" s="4">
        <v>0</v>
      </c>
      <c r="OT2" s="4">
        <v>0</v>
      </c>
      <c r="OU2" s="4">
        <v>0</v>
      </c>
      <c r="OV2" s="4">
        <v>0</v>
      </c>
      <c r="OW2" s="4">
        <v>2744040</v>
      </c>
      <c r="OX2" s="4">
        <v>711136</v>
      </c>
      <c r="OY2" s="4">
        <v>9247188</v>
      </c>
      <c r="OZ2" s="4">
        <v>147840</v>
      </c>
      <c r="PA2" s="4">
        <v>0</v>
      </c>
      <c r="PB2" s="4">
        <v>0</v>
      </c>
      <c r="PC2" s="4">
        <v>0</v>
      </c>
      <c r="PD2" s="4">
        <v>0</v>
      </c>
      <c r="PE2" s="4">
        <v>0</v>
      </c>
      <c r="PF2" s="4">
        <v>0</v>
      </c>
      <c r="PG2" s="4">
        <v>0</v>
      </c>
      <c r="PH2" s="4">
        <v>0</v>
      </c>
      <c r="PI2" s="4">
        <v>2695344</v>
      </c>
      <c r="PJ2" s="4">
        <v>0</v>
      </c>
      <c r="PK2" s="4">
        <v>0</v>
      </c>
      <c r="PL2" s="4">
        <v>0</v>
      </c>
      <c r="PM2" s="4">
        <v>0</v>
      </c>
      <c r="PN2" s="4">
        <v>0</v>
      </c>
      <c r="PO2" s="4">
        <v>0</v>
      </c>
      <c r="PP2" s="4">
        <v>0</v>
      </c>
      <c r="PQ2" s="4">
        <v>0</v>
      </c>
      <c r="PR2" s="4">
        <v>185280</v>
      </c>
      <c r="PS2" s="4">
        <v>15545548</v>
      </c>
      <c r="PT2" s="4">
        <v>82770</v>
      </c>
      <c r="PU2" s="1" t="s">
        <v>465</v>
      </c>
      <c r="PV2" s="4">
        <v>0</v>
      </c>
      <c r="PW2" s="4">
        <v>22080</v>
      </c>
      <c r="PX2" s="4">
        <v>0</v>
      </c>
      <c r="PY2" s="4">
        <v>0</v>
      </c>
      <c r="PZ2" s="4">
        <v>0</v>
      </c>
      <c r="QA2" s="4">
        <v>0</v>
      </c>
      <c r="QB2" s="4">
        <v>0</v>
      </c>
      <c r="QC2" s="4">
        <v>0</v>
      </c>
      <c r="QD2" s="4">
        <v>0</v>
      </c>
      <c r="QE2" s="4">
        <v>0</v>
      </c>
      <c r="QF2" s="4">
        <v>0</v>
      </c>
      <c r="QG2" s="4">
        <v>0</v>
      </c>
      <c r="QH2" s="4">
        <v>0</v>
      </c>
      <c r="QI2" s="4">
        <v>0</v>
      </c>
      <c r="QJ2" s="4">
        <v>0</v>
      </c>
      <c r="QK2" s="4">
        <v>127920</v>
      </c>
      <c r="QL2" s="4">
        <v>0</v>
      </c>
      <c r="QM2" s="4">
        <v>0</v>
      </c>
      <c r="QN2" s="4">
        <v>2410032</v>
      </c>
      <c r="QO2" s="4">
        <v>0</v>
      </c>
      <c r="QP2" s="4">
        <v>0</v>
      </c>
      <c r="QQ2" s="4">
        <v>0</v>
      </c>
      <c r="QR2" s="4">
        <v>0</v>
      </c>
      <c r="QS2" s="4">
        <v>0</v>
      </c>
      <c r="QT2" s="4">
        <v>0</v>
      </c>
      <c r="QU2" s="4">
        <v>0</v>
      </c>
      <c r="QV2" s="4">
        <v>0</v>
      </c>
      <c r="QW2" s="4">
        <v>0</v>
      </c>
      <c r="QX2" s="4">
        <v>0</v>
      </c>
      <c r="QY2" s="4">
        <v>0</v>
      </c>
      <c r="QZ2" s="4">
        <v>0</v>
      </c>
      <c r="RA2" s="4">
        <v>0</v>
      </c>
      <c r="RB2" s="4">
        <v>14224704</v>
      </c>
      <c r="RC2" s="4">
        <v>0</v>
      </c>
      <c r="RD2" s="4">
        <v>150000</v>
      </c>
      <c r="RE2" s="4">
        <v>16634736</v>
      </c>
      <c r="RF2" s="4">
        <v>82798</v>
      </c>
      <c r="RG2" s="1" t="s">
        <v>467</v>
      </c>
      <c r="RH2" s="4">
        <v>0</v>
      </c>
      <c r="RI2" s="4">
        <v>25680</v>
      </c>
      <c r="RJ2" s="4">
        <v>480</v>
      </c>
      <c r="RK2" s="4">
        <v>0</v>
      </c>
      <c r="RL2" s="4">
        <v>0</v>
      </c>
      <c r="RM2" s="4">
        <v>0</v>
      </c>
      <c r="RN2" s="4">
        <v>0</v>
      </c>
      <c r="RO2" s="4">
        <v>0</v>
      </c>
      <c r="RP2" s="4">
        <v>0</v>
      </c>
      <c r="RQ2" s="4">
        <v>0</v>
      </c>
      <c r="RR2" s="4">
        <v>0</v>
      </c>
      <c r="RS2" s="4">
        <v>0</v>
      </c>
      <c r="RT2" s="4">
        <v>123840</v>
      </c>
      <c r="RU2" s="4">
        <v>0</v>
      </c>
      <c r="RV2" s="4">
        <v>0</v>
      </c>
      <c r="RW2" s="4">
        <v>2802972</v>
      </c>
      <c r="RX2" s="4">
        <v>25584</v>
      </c>
      <c r="RY2" s="4">
        <v>0</v>
      </c>
      <c r="RZ2" s="4">
        <v>0</v>
      </c>
      <c r="SA2" s="4">
        <v>0</v>
      </c>
      <c r="SB2" s="4">
        <v>0</v>
      </c>
      <c r="SC2" s="4">
        <v>0</v>
      </c>
      <c r="SD2" s="4">
        <v>0</v>
      </c>
      <c r="SE2" s="4">
        <v>0</v>
      </c>
      <c r="SF2" s="4">
        <v>0</v>
      </c>
      <c r="SG2" s="4">
        <v>0</v>
      </c>
      <c r="SH2" s="4">
        <v>13771008</v>
      </c>
      <c r="SI2" s="4">
        <v>0</v>
      </c>
      <c r="SJ2" s="4">
        <v>150000</v>
      </c>
      <c r="SK2" s="4">
        <v>16599564</v>
      </c>
    </row>
    <row x14ac:dyDescent="0.25" r="3" customHeight="1" ht="18">
      <c r="A3" s="1" t="s">
        <v>875</v>
      </c>
      <c r="B3" s="4">
        <v>82788</v>
      </c>
      <c r="C3" s="2" t="s">
        <v>109</v>
      </c>
      <c r="D3" s="4">
        <v>32400</v>
      </c>
      <c r="E3" s="4">
        <v>300720</v>
      </c>
      <c r="F3" s="4">
        <v>0</v>
      </c>
      <c r="G3" s="4">
        <v>0</v>
      </c>
      <c r="H3" s="4">
        <v>0</v>
      </c>
      <c r="I3" s="4">
        <v>0</v>
      </c>
      <c r="J3" s="4">
        <v>240</v>
      </c>
      <c r="K3" s="4">
        <v>89040</v>
      </c>
      <c r="L3" s="4">
        <v>0</v>
      </c>
      <c r="M3" s="4">
        <v>0</v>
      </c>
      <c r="N3" s="4">
        <v>0</v>
      </c>
      <c r="O3" s="4">
        <v>1308960</v>
      </c>
      <c r="P3" s="4">
        <v>12149088</v>
      </c>
      <c r="Q3" s="4">
        <v>0</v>
      </c>
      <c r="R3" s="4">
        <v>0</v>
      </c>
      <c r="S3" s="4">
        <v>0</v>
      </c>
      <c r="T3" s="4">
        <v>0</v>
      </c>
      <c r="U3" s="4">
        <v>2616</v>
      </c>
      <c r="V3" s="4">
        <v>3428040</v>
      </c>
      <c r="W3" s="4">
        <v>0</v>
      </c>
      <c r="X3" s="4">
        <v>0</v>
      </c>
      <c r="Y3" s="4">
        <v>0</v>
      </c>
      <c r="Z3" s="4">
        <v>422400</v>
      </c>
      <c r="AA3" s="4">
        <v>16888704</v>
      </c>
      <c r="AB3" s="4">
        <v>82795</v>
      </c>
      <c r="AC3" s="1" t="s">
        <v>109</v>
      </c>
      <c r="AD3" s="4">
        <v>12480</v>
      </c>
      <c r="AE3" s="4">
        <v>249840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163440</v>
      </c>
      <c r="AP3" s="4">
        <v>0</v>
      </c>
      <c r="AQ3" s="4">
        <v>0</v>
      </c>
      <c r="AR3" s="4">
        <v>0</v>
      </c>
      <c r="AS3" s="4">
        <v>504191</v>
      </c>
      <c r="AT3" s="4">
        <v>10093536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6292440</v>
      </c>
      <c r="BE3" s="4">
        <v>0</v>
      </c>
      <c r="BF3" s="4">
        <v>0</v>
      </c>
      <c r="BG3" s="4">
        <v>0</v>
      </c>
      <c r="BH3" s="4">
        <v>425760</v>
      </c>
      <c r="BI3" s="4">
        <v>16890168</v>
      </c>
      <c r="BJ3" s="4">
        <v>22965</v>
      </c>
      <c r="BK3" s="1" t="s">
        <v>876</v>
      </c>
      <c r="BL3" s="4">
        <v>67920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38640</v>
      </c>
      <c r="BS3" s="4">
        <v>61680</v>
      </c>
      <c r="BT3" s="4">
        <v>26400</v>
      </c>
      <c r="BU3" s="4">
        <v>480</v>
      </c>
      <c r="BV3" s="4">
        <v>14400</v>
      </c>
      <c r="BW3" s="4">
        <v>0</v>
      </c>
      <c r="BX3" s="4">
        <v>0</v>
      </c>
      <c r="BY3" s="4">
        <v>0</v>
      </c>
      <c r="BZ3" s="4">
        <v>2743967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421176</v>
      </c>
      <c r="CG3" s="4">
        <v>672312</v>
      </c>
      <c r="CH3" s="4">
        <v>287760</v>
      </c>
      <c r="CI3" s="4">
        <v>5232</v>
      </c>
      <c r="CJ3" s="4">
        <v>554400</v>
      </c>
      <c r="CK3" s="4">
        <v>0</v>
      </c>
      <c r="CL3" s="4">
        <v>0</v>
      </c>
      <c r="CM3" s="4">
        <v>0</v>
      </c>
      <c r="CN3" s="4">
        <v>209520</v>
      </c>
      <c r="CO3" s="4">
        <v>4684848</v>
      </c>
      <c r="CP3" s="4">
        <v>82794</v>
      </c>
      <c r="CQ3" s="1" t="s">
        <v>109</v>
      </c>
      <c r="CR3" s="4">
        <v>13200</v>
      </c>
      <c r="CS3" s="4">
        <v>246960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240</v>
      </c>
      <c r="DC3" s="4">
        <v>0</v>
      </c>
      <c r="DD3" s="4">
        <v>0</v>
      </c>
      <c r="DE3" s="4">
        <v>0</v>
      </c>
      <c r="DF3" s="4">
        <v>0</v>
      </c>
      <c r="DG3" s="4">
        <v>165600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240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533280</v>
      </c>
      <c r="DT3" s="4">
        <v>9977184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2616</v>
      </c>
      <c r="ED3" s="4">
        <v>0</v>
      </c>
      <c r="EE3" s="4">
        <v>0</v>
      </c>
      <c r="EF3" s="4">
        <v>0</v>
      </c>
      <c r="EG3" s="4">
        <v>0</v>
      </c>
      <c r="EH3" s="4">
        <v>6375600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1395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426240</v>
      </c>
      <c r="EU3" s="4">
        <v>16890075</v>
      </c>
      <c r="EV3" s="4">
        <v>82796</v>
      </c>
      <c r="EW3" s="1" t="s">
        <v>109</v>
      </c>
      <c r="EX3" s="4">
        <v>13200</v>
      </c>
      <c r="EY3" s="4">
        <v>256320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109680</v>
      </c>
      <c r="FI3" s="4">
        <v>0</v>
      </c>
      <c r="FJ3" s="4">
        <v>0</v>
      </c>
      <c r="FK3" s="4">
        <v>0</v>
      </c>
      <c r="FL3" s="4">
        <v>0</v>
      </c>
      <c r="FM3" s="4">
        <v>124800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240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533280</v>
      </c>
      <c r="GC3" s="4">
        <v>10355328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1195512</v>
      </c>
      <c r="GM3" s="4">
        <v>0</v>
      </c>
      <c r="GN3" s="4">
        <v>0</v>
      </c>
      <c r="GO3" s="4">
        <v>0</v>
      </c>
      <c r="GP3" s="4">
        <v>0</v>
      </c>
      <c r="GQ3" s="4">
        <v>4804800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1395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504240</v>
      </c>
      <c r="HG3" s="4">
        <v>16890315</v>
      </c>
      <c r="HH3" s="4">
        <v>82797</v>
      </c>
      <c r="HI3" s="1" t="s">
        <v>467</v>
      </c>
      <c r="HJ3" s="4">
        <v>13200</v>
      </c>
      <c r="HK3" s="4">
        <v>265920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77520</v>
      </c>
      <c r="HV3" s="4">
        <v>0</v>
      </c>
      <c r="HW3" s="4">
        <v>0</v>
      </c>
      <c r="HX3" s="4">
        <v>0</v>
      </c>
      <c r="HY3" s="4">
        <v>0</v>
      </c>
      <c r="HZ3" s="4">
        <v>123840</v>
      </c>
      <c r="IA3" s="4">
        <v>0</v>
      </c>
      <c r="IB3" s="4">
        <v>0</v>
      </c>
      <c r="IC3" s="4">
        <v>0</v>
      </c>
      <c r="ID3" s="4">
        <v>0</v>
      </c>
      <c r="IE3" s="4">
        <v>0</v>
      </c>
      <c r="IF3" s="4">
        <v>240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</v>
      </c>
      <c r="IN3" s="4">
        <v>0</v>
      </c>
      <c r="IO3" s="4">
        <v>0</v>
      </c>
      <c r="IP3" s="4">
        <v>533280</v>
      </c>
      <c r="IQ3" s="4">
        <v>10743168</v>
      </c>
      <c r="IR3" s="4">
        <v>0</v>
      </c>
      <c r="IS3" s="4">
        <v>0</v>
      </c>
      <c r="IT3" s="4">
        <v>0</v>
      </c>
      <c r="IU3" s="4">
        <v>0</v>
      </c>
      <c r="IV3" s="4">
        <v>0</v>
      </c>
      <c r="IW3" s="4">
        <v>0</v>
      </c>
      <c r="IX3" s="4">
        <v>0</v>
      </c>
      <c r="IY3" s="4">
        <v>0</v>
      </c>
      <c r="IZ3" s="4">
        <v>0</v>
      </c>
      <c r="JA3" s="4">
        <v>844968</v>
      </c>
      <c r="JB3" s="4">
        <v>0</v>
      </c>
      <c r="JC3" s="4">
        <v>0</v>
      </c>
      <c r="JD3" s="4">
        <v>0</v>
      </c>
      <c r="JE3" s="4">
        <v>0</v>
      </c>
      <c r="JF3" s="4">
        <v>4767840</v>
      </c>
      <c r="JG3" s="4">
        <v>0</v>
      </c>
      <c r="JH3" s="4">
        <v>0</v>
      </c>
      <c r="JI3" s="4">
        <v>0</v>
      </c>
      <c r="JJ3" s="4">
        <v>0</v>
      </c>
      <c r="JK3" s="4">
        <v>0</v>
      </c>
      <c r="JL3" s="4">
        <v>1395</v>
      </c>
      <c r="JM3" s="4">
        <v>0</v>
      </c>
      <c r="JN3" s="4">
        <v>0</v>
      </c>
      <c r="JO3" s="4">
        <v>0</v>
      </c>
      <c r="JP3" s="4">
        <v>0</v>
      </c>
      <c r="JQ3" s="4">
        <v>0</v>
      </c>
      <c r="JR3" s="4">
        <v>0</v>
      </c>
      <c r="JS3" s="4">
        <v>0</v>
      </c>
      <c r="JT3" s="4">
        <v>0</v>
      </c>
      <c r="JU3" s="4">
        <v>0</v>
      </c>
      <c r="JV3" s="4">
        <v>480720</v>
      </c>
      <c r="JW3" s="4">
        <v>16890651</v>
      </c>
      <c r="JX3" s="4">
        <v>82788</v>
      </c>
      <c r="JY3" s="1" t="s">
        <v>109</v>
      </c>
      <c r="JZ3" s="4">
        <v>14640</v>
      </c>
      <c r="KA3" s="4">
        <v>280080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151680</v>
      </c>
      <c r="KH3" s="4">
        <v>166320</v>
      </c>
      <c r="KI3" s="4">
        <v>96960</v>
      </c>
      <c r="KJ3" s="4">
        <v>1200</v>
      </c>
      <c r="KK3" s="4">
        <v>0</v>
      </c>
      <c r="KL3" s="4">
        <v>9840</v>
      </c>
      <c r="KM3" s="4">
        <v>0</v>
      </c>
      <c r="KN3" s="4">
        <v>0</v>
      </c>
      <c r="KO3" s="4">
        <v>0</v>
      </c>
      <c r="KP3" s="4">
        <v>0</v>
      </c>
      <c r="KQ3" s="4">
        <v>1440</v>
      </c>
      <c r="KR3" s="4">
        <v>0</v>
      </c>
      <c r="KS3" s="4">
        <v>0</v>
      </c>
      <c r="KT3" s="4">
        <v>0</v>
      </c>
      <c r="KU3" s="4">
        <v>0</v>
      </c>
      <c r="KV3" s="4">
        <v>0</v>
      </c>
      <c r="KW3" s="4">
        <v>0</v>
      </c>
      <c r="KX3" s="4">
        <v>0</v>
      </c>
      <c r="KY3" s="4">
        <v>591456</v>
      </c>
      <c r="KZ3" s="4">
        <v>11315231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1653312</v>
      </c>
      <c r="LG3" s="4">
        <v>1812888</v>
      </c>
      <c r="LH3" s="4">
        <v>1056864</v>
      </c>
      <c r="LI3" s="4">
        <v>13080</v>
      </c>
      <c r="LJ3" s="4">
        <v>0</v>
      </c>
      <c r="LK3" s="4">
        <v>378840</v>
      </c>
      <c r="LL3" s="4">
        <v>0</v>
      </c>
      <c r="LM3" s="4">
        <v>0</v>
      </c>
      <c r="LN3" s="4">
        <v>0</v>
      </c>
      <c r="LO3" s="4">
        <v>0</v>
      </c>
      <c r="LP3" s="4">
        <v>67104</v>
      </c>
      <c r="LQ3" s="4">
        <v>0</v>
      </c>
      <c r="LR3" s="4">
        <v>0</v>
      </c>
      <c r="LS3" s="4">
        <v>0</v>
      </c>
      <c r="LT3" s="4">
        <v>0</v>
      </c>
      <c r="LU3" s="4">
        <v>0</v>
      </c>
      <c r="LV3" s="4">
        <v>0</v>
      </c>
      <c r="LW3" s="4">
        <v>0</v>
      </c>
      <c r="LX3" s="4">
        <v>722160</v>
      </c>
      <c r="LY3" s="4">
        <v>16888776</v>
      </c>
      <c r="LZ3" s="4">
        <v>82773</v>
      </c>
      <c r="MA3" s="1" t="s">
        <v>308</v>
      </c>
      <c r="MB3" s="4">
        <v>0</v>
      </c>
      <c r="MC3" s="4">
        <v>0</v>
      </c>
      <c r="MD3" s="4">
        <v>0</v>
      </c>
      <c r="ME3" s="4">
        <v>0</v>
      </c>
      <c r="MF3" s="4">
        <v>0</v>
      </c>
      <c r="MG3" s="4">
        <v>152640</v>
      </c>
      <c r="MH3" s="4">
        <v>166320</v>
      </c>
      <c r="MI3" s="4">
        <v>129120</v>
      </c>
      <c r="MJ3" s="4">
        <v>720</v>
      </c>
      <c r="MK3" s="4">
        <v>240</v>
      </c>
      <c r="ML3" s="4">
        <v>0</v>
      </c>
      <c r="MM3" s="4">
        <v>0</v>
      </c>
      <c r="MN3" s="4">
        <v>0</v>
      </c>
      <c r="MO3" s="4">
        <v>14880</v>
      </c>
      <c r="MP3" s="4">
        <v>39600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84720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1663776</v>
      </c>
      <c r="NE3" s="4">
        <v>1812888</v>
      </c>
      <c r="NF3" s="4">
        <v>1407408</v>
      </c>
      <c r="NG3" s="4">
        <v>7848</v>
      </c>
      <c r="NH3" s="4">
        <v>12792</v>
      </c>
      <c r="NI3" s="4">
        <v>0</v>
      </c>
      <c r="NJ3" s="4">
        <v>0</v>
      </c>
      <c r="NK3" s="4">
        <v>0</v>
      </c>
      <c r="NL3" s="4">
        <v>714835</v>
      </c>
      <c r="NM3" s="4">
        <v>1845360</v>
      </c>
      <c r="NN3" s="4">
        <v>0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9420864</v>
      </c>
      <c r="NU3" s="4">
        <v>0</v>
      </c>
      <c r="NV3" s="4">
        <v>588240</v>
      </c>
      <c r="NW3" s="4">
        <v>16885771</v>
      </c>
      <c r="NX3" s="4">
        <v>82796</v>
      </c>
      <c r="NY3" s="1" t="s">
        <v>467</v>
      </c>
      <c r="NZ3" s="4">
        <v>0</v>
      </c>
      <c r="OA3" s="4">
        <v>0</v>
      </c>
      <c r="OB3" s="4">
        <v>0</v>
      </c>
      <c r="OC3" s="4">
        <v>0</v>
      </c>
      <c r="OD3" s="4">
        <v>0</v>
      </c>
      <c r="OE3" s="4">
        <v>152640</v>
      </c>
      <c r="OF3" s="4">
        <v>166320</v>
      </c>
      <c r="OG3" s="4">
        <v>129120</v>
      </c>
      <c r="OH3" s="4">
        <v>480</v>
      </c>
      <c r="OI3" s="4">
        <v>0</v>
      </c>
      <c r="OJ3" s="4">
        <v>0</v>
      </c>
      <c r="OK3" s="4">
        <v>0</v>
      </c>
      <c r="OL3" s="4">
        <v>11040</v>
      </c>
      <c r="OM3" s="4">
        <v>13200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97440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</v>
      </c>
      <c r="PA3" s="4">
        <v>1663776</v>
      </c>
      <c r="PB3" s="4">
        <v>1812888</v>
      </c>
      <c r="PC3" s="4">
        <v>1407408</v>
      </c>
      <c r="PD3" s="4">
        <v>25584</v>
      </c>
      <c r="PE3" s="4">
        <v>0</v>
      </c>
      <c r="PF3" s="4">
        <v>0</v>
      </c>
      <c r="PG3" s="4">
        <v>0</v>
      </c>
      <c r="PH3" s="4">
        <v>530361</v>
      </c>
      <c r="PI3" s="4">
        <v>615120</v>
      </c>
      <c r="PJ3" s="4">
        <v>0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10835328</v>
      </c>
      <c r="PQ3" s="4">
        <v>0</v>
      </c>
      <c r="PR3" s="4">
        <v>570240</v>
      </c>
      <c r="PS3" s="4">
        <v>16890465</v>
      </c>
      <c r="PT3" s="4">
        <v>82800</v>
      </c>
      <c r="PU3" s="1" t="s">
        <v>467</v>
      </c>
      <c r="PV3" s="4">
        <v>240</v>
      </c>
      <c r="PW3" s="4">
        <v>0</v>
      </c>
      <c r="PX3" s="4">
        <v>152640</v>
      </c>
      <c r="PY3" s="4">
        <v>166320</v>
      </c>
      <c r="PZ3" s="4">
        <v>129120</v>
      </c>
      <c r="QA3" s="4">
        <v>2400</v>
      </c>
      <c r="QB3" s="4">
        <v>0</v>
      </c>
      <c r="QC3" s="4">
        <v>0</v>
      </c>
      <c r="QD3" s="4">
        <v>0</v>
      </c>
      <c r="QE3" s="4">
        <v>0</v>
      </c>
      <c r="QF3" s="4">
        <v>0</v>
      </c>
      <c r="QG3" s="4">
        <v>0</v>
      </c>
      <c r="QH3" s="4">
        <v>55920</v>
      </c>
      <c r="QI3" s="4">
        <v>0</v>
      </c>
      <c r="QJ3" s="4">
        <v>0</v>
      </c>
      <c r="QK3" s="4">
        <v>37680</v>
      </c>
      <c r="QL3" s="4">
        <v>39840</v>
      </c>
      <c r="QM3" s="4">
        <v>12888</v>
      </c>
      <c r="QN3" s="4">
        <v>0</v>
      </c>
      <c r="QO3" s="4">
        <v>1663776</v>
      </c>
      <c r="QP3" s="4">
        <v>1812888</v>
      </c>
      <c r="QQ3" s="4">
        <v>1407408</v>
      </c>
      <c r="QR3" s="4">
        <v>127920</v>
      </c>
      <c r="QS3" s="4">
        <v>0</v>
      </c>
      <c r="QT3" s="4">
        <v>0</v>
      </c>
      <c r="QU3" s="4">
        <v>0</v>
      </c>
      <c r="QV3" s="4">
        <v>0</v>
      </c>
      <c r="QW3" s="4">
        <v>0</v>
      </c>
      <c r="QX3" s="4">
        <v>0</v>
      </c>
      <c r="QY3" s="4">
        <v>3030864</v>
      </c>
      <c r="QZ3" s="4">
        <v>0</v>
      </c>
      <c r="RA3" s="4">
        <v>0</v>
      </c>
      <c r="RB3" s="4">
        <v>4190016</v>
      </c>
      <c r="RC3" s="4">
        <v>4645344</v>
      </c>
      <c r="RD3" s="4">
        <v>584160</v>
      </c>
      <c r="RE3" s="4">
        <v>16891104</v>
      </c>
      <c r="RF3" s="4">
        <v>82796</v>
      </c>
      <c r="RG3" s="1" t="s">
        <v>467</v>
      </c>
      <c r="RH3" s="4">
        <v>0</v>
      </c>
      <c r="RI3" s="4">
        <v>0</v>
      </c>
      <c r="RJ3" s="4">
        <v>1200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31680</v>
      </c>
      <c r="RR3" s="4">
        <v>0</v>
      </c>
      <c r="RS3" s="4">
        <v>0</v>
      </c>
      <c r="RT3" s="4">
        <v>57360</v>
      </c>
      <c r="RU3" s="4">
        <v>74880</v>
      </c>
      <c r="RV3" s="4">
        <v>0</v>
      </c>
      <c r="RW3" s="4">
        <v>0</v>
      </c>
      <c r="RX3" s="4">
        <v>63960</v>
      </c>
      <c r="RY3" s="4">
        <v>0</v>
      </c>
      <c r="RZ3" s="4">
        <v>0</v>
      </c>
      <c r="SA3" s="4">
        <v>0</v>
      </c>
      <c r="SB3" s="4">
        <v>0</v>
      </c>
      <c r="SC3" s="4">
        <v>0</v>
      </c>
      <c r="SD3" s="4">
        <v>0</v>
      </c>
      <c r="SE3" s="4">
        <v>1717056</v>
      </c>
      <c r="SF3" s="4">
        <v>0</v>
      </c>
      <c r="SG3" s="4">
        <v>0</v>
      </c>
      <c r="SH3" s="4">
        <v>6378432</v>
      </c>
      <c r="SI3" s="4">
        <v>8731008</v>
      </c>
      <c r="SJ3" s="4">
        <v>165120</v>
      </c>
      <c r="SK3" s="4">
        <v>16890456</v>
      </c>
    </row>
    <row x14ac:dyDescent="0.25" r="4" customHeight="1" ht="18">
      <c r="A4" s="1" t="s">
        <v>877</v>
      </c>
      <c r="B4" s="4">
        <v>82766</v>
      </c>
      <c r="C4" s="2" t="s">
        <v>465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167520</v>
      </c>
      <c r="K4" s="4">
        <v>239520</v>
      </c>
      <c r="L4" s="4">
        <v>145920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1825968</v>
      </c>
      <c r="V4" s="4">
        <v>9221520</v>
      </c>
      <c r="W4" s="4">
        <v>5836800</v>
      </c>
      <c r="X4" s="4">
        <v>0</v>
      </c>
      <c r="Y4" s="4">
        <v>0</v>
      </c>
      <c r="Z4" s="4">
        <v>552960</v>
      </c>
      <c r="AA4" s="4">
        <v>16884288</v>
      </c>
      <c r="AB4" s="4">
        <v>82758</v>
      </c>
      <c r="AC4" s="1" t="s">
        <v>485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234000</v>
      </c>
      <c r="AL4" s="4">
        <v>289440</v>
      </c>
      <c r="AM4" s="4">
        <v>19920</v>
      </c>
      <c r="AN4" s="4">
        <v>960</v>
      </c>
      <c r="AO4" s="4">
        <v>79440</v>
      </c>
      <c r="AP4" s="4">
        <v>197280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2550600</v>
      </c>
      <c r="BA4" s="4">
        <v>3154896</v>
      </c>
      <c r="BB4" s="4">
        <v>217128</v>
      </c>
      <c r="BC4" s="4">
        <v>10464</v>
      </c>
      <c r="BD4" s="4">
        <v>3058440</v>
      </c>
      <c r="BE4" s="4">
        <v>7891200</v>
      </c>
      <c r="BF4" s="4">
        <v>0</v>
      </c>
      <c r="BG4" s="4">
        <v>0</v>
      </c>
      <c r="BH4" s="4">
        <v>821040</v>
      </c>
      <c r="BI4" s="4">
        <v>16882728</v>
      </c>
      <c r="BJ4" s="4">
        <v>30871</v>
      </c>
      <c r="BK4" s="1" t="s">
        <v>878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157440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6297600</v>
      </c>
      <c r="CL4" s="4">
        <v>0</v>
      </c>
      <c r="CM4" s="4">
        <v>0</v>
      </c>
      <c r="CN4" s="4">
        <v>157440</v>
      </c>
      <c r="CO4" s="4">
        <v>6297600</v>
      </c>
      <c r="CP4" s="4">
        <v>82796</v>
      </c>
      <c r="CQ4" s="1" t="s">
        <v>467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154560</v>
      </c>
      <c r="DB4" s="4">
        <v>199680</v>
      </c>
      <c r="DC4" s="4">
        <v>98880</v>
      </c>
      <c r="DD4" s="4">
        <v>3360</v>
      </c>
      <c r="DE4" s="4">
        <v>0</v>
      </c>
      <c r="DF4" s="4">
        <v>0</v>
      </c>
      <c r="DG4" s="4">
        <v>4800</v>
      </c>
      <c r="DH4" s="4">
        <v>293040</v>
      </c>
      <c r="DI4" s="4">
        <v>0</v>
      </c>
      <c r="DJ4" s="4">
        <v>0</v>
      </c>
      <c r="DK4" s="4">
        <v>0</v>
      </c>
      <c r="DL4" s="4">
        <v>0</v>
      </c>
      <c r="DM4" s="4">
        <v>1440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1684704</v>
      </c>
      <c r="EC4" s="4">
        <v>2176512</v>
      </c>
      <c r="ED4" s="4">
        <v>1077792</v>
      </c>
      <c r="EE4" s="4">
        <v>36624</v>
      </c>
      <c r="EF4" s="4">
        <v>0</v>
      </c>
      <c r="EG4" s="4">
        <v>0</v>
      </c>
      <c r="EH4" s="4">
        <v>184800</v>
      </c>
      <c r="EI4" s="4">
        <v>11721600</v>
      </c>
      <c r="EJ4" s="4">
        <v>0</v>
      </c>
      <c r="EK4" s="4">
        <v>0</v>
      </c>
      <c r="EL4" s="4">
        <v>0</v>
      </c>
      <c r="EM4" s="4">
        <v>0</v>
      </c>
      <c r="EN4" s="4">
        <v>8372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755760</v>
      </c>
      <c r="EU4" s="4">
        <v>16890404</v>
      </c>
      <c r="EV4" s="4">
        <v>82799</v>
      </c>
      <c r="EW4" s="1" t="s">
        <v>467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145920</v>
      </c>
      <c r="FH4" s="4">
        <v>70080</v>
      </c>
      <c r="FI4" s="4">
        <v>97920</v>
      </c>
      <c r="FJ4" s="4">
        <v>4320</v>
      </c>
      <c r="FK4" s="4">
        <v>0</v>
      </c>
      <c r="FL4" s="4">
        <v>0</v>
      </c>
      <c r="FM4" s="4">
        <v>0</v>
      </c>
      <c r="FN4" s="4">
        <v>335520</v>
      </c>
      <c r="FO4" s="4">
        <v>0</v>
      </c>
      <c r="FP4" s="4">
        <v>0</v>
      </c>
      <c r="FQ4" s="4">
        <v>0</v>
      </c>
      <c r="FR4" s="4">
        <v>0</v>
      </c>
      <c r="FS4" s="4">
        <v>240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1590528</v>
      </c>
      <c r="GL4" s="4">
        <v>763872</v>
      </c>
      <c r="GM4" s="4">
        <v>1067328</v>
      </c>
      <c r="GN4" s="4">
        <v>47088</v>
      </c>
      <c r="GO4" s="4">
        <v>0</v>
      </c>
      <c r="GP4" s="4">
        <v>0</v>
      </c>
      <c r="GQ4" s="4">
        <v>0</v>
      </c>
      <c r="GR4" s="4">
        <v>13420800</v>
      </c>
      <c r="GS4" s="4">
        <v>0</v>
      </c>
      <c r="GT4" s="4">
        <v>0</v>
      </c>
      <c r="GU4" s="4">
        <v>0</v>
      </c>
      <c r="GV4" s="4">
        <v>0</v>
      </c>
      <c r="GW4" s="4">
        <v>1395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654000</v>
      </c>
      <c r="HG4" s="4">
        <v>16891011</v>
      </c>
      <c r="HH4" s="4">
        <v>82798</v>
      </c>
      <c r="HI4" s="1" t="s">
        <v>467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143040</v>
      </c>
      <c r="HU4" s="4">
        <v>88800</v>
      </c>
      <c r="HV4" s="4">
        <v>97920</v>
      </c>
      <c r="HW4" s="4">
        <v>4560</v>
      </c>
      <c r="HX4" s="4">
        <v>0</v>
      </c>
      <c r="HY4" s="4">
        <v>0</v>
      </c>
      <c r="HZ4" s="4">
        <v>0</v>
      </c>
      <c r="IA4" s="4">
        <v>330960</v>
      </c>
      <c r="IB4" s="4">
        <v>0</v>
      </c>
      <c r="IC4" s="4">
        <v>0</v>
      </c>
      <c r="ID4" s="4">
        <v>0</v>
      </c>
      <c r="IE4" s="4">
        <v>0</v>
      </c>
      <c r="IF4" s="4">
        <v>1440</v>
      </c>
      <c r="IG4" s="4">
        <v>0</v>
      </c>
      <c r="IH4" s="4">
        <v>0</v>
      </c>
      <c r="II4" s="4">
        <v>0</v>
      </c>
      <c r="IJ4" s="4">
        <v>0</v>
      </c>
      <c r="IK4" s="4">
        <v>0</v>
      </c>
      <c r="IL4" s="4">
        <v>0</v>
      </c>
      <c r="IM4" s="4">
        <v>0</v>
      </c>
      <c r="IN4" s="4">
        <v>0</v>
      </c>
      <c r="IO4" s="4">
        <v>0</v>
      </c>
      <c r="IP4" s="4">
        <v>0</v>
      </c>
      <c r="IQ4" s="4">
        <v>0</v>
      </c>
      <c r="IR4" s="4">
        <v>0</v>
      </c>
      <c r="IS4" s="4">
        <v>0</v>
      </c>
      <c r="IT4" s="4">
        <v>0</v>
      </c>
      <c r="IU4" s="4">
        <v>0</v>
      </c>
      <c r="IV4" s="4">
        <v>0</v>
      </c>
      <c r="IW4" s="4">
        <v>0</v>
      </c>
      <c r="IX4" s="4">
        <v>0</v>
      </c>
      <c r="IY4" s="4">
        <v>0</v>
      </c>
      <c r="IZ4" s="4">
        <v>1559136</v>
      </c>
      <c r="JA4" s="4">
        <v>967920</v>
      </c>
      <c r="JB4" s="4">
        <v>1067328</v>
      </c>
      <c r="JC4" s="4">
        <v>49704</v>
      </c>
      <c r="JD4" s="4">
        <v>0</v>
      </c>
      <c r="JE4" s="4">
        <v>0</v>
      </c>
      <c r="JF4" s="4">
        <v>0</v>
      </c>
      <c r="JG4" s="4">
        <v>13238400</v>
      </c>
      <c r="JH4" s="4">
        <v>0</v>
      </c>
      <c r="JI4" s="4">
        <v>0</v>
      </c>
      <c r="JJ4" s="4">
        <v>0</v>
      </c>
      <c r="JK4" s="4">
        <v>0</v>
      </c>
      <c r="JL4" s="4">
        <v>8372</v>
      </c>
      <c r="JM4" s="4">
        <v>0</v>
      </c>
      <c r="JN4" s="4">
        <v>0</v>
      </c>
      <c r="JO4" s="4">
        <v>0</v>
      </c>
      <c r="JP4" s="4">
        <v>0</v>
      </c>
      <c r="JQ4" s="4">
        <v>0</v>
      </c>
      <c r="JR4" s="4">
        <v>0</v>
      </c>
      <c r="JS4" s="4">
        <v>0</v>
      </c>
      <c r="JT4" s="4">
        <v>0</v>
      </c>
      <c r="JU4" s="4">
        <v>0</v>
      </c>
      <c r="JV4" s="4">
        <v>666720</v>
      </c>
      <c r="JW4" s="4">
        <v>16890860</v>
      </c>
      <c r="JX4" s="4">
        <v>82786</v>
      </c>
      <c r="JY4" s="1" t="s">
        <v>466</v>
      </c>
      <c r="JZ4" s="4">
        <v>0</v>
      </c>
      <c r="KA4" s="4">
        <v>0</v>
      </c>
      <c r="KB4" s="4">
        <v>0</v>
      </c>
      <c r="KC4" s="4">
        <v>0</v>
      </c>
      <c r="KD4" s="4">
        <v>0</v>
      </c>
      <c r="KE4" s="4">
        <v>0</v>
      </c>
      <c r="KF4" s="4">
        <v>0</v>
      </c>
      <c r="KG4" s="4">
        <v>0</v>
      </c>
      <c r="KH4" s="4">
        <v>0</v>
      </c>
      <c r="KI4" s="4">
        <v>0</v>
      </c>
      <c r="KJ4" s="4">
        <v>0</v>
      </c>
      <c r="KK4" s="4">
        <v>0</v>
      </c>
      <c r="KL4" s="4">
        <v>0</v>
      </c>
      <c r="KM4" s="4">
        <v>361440</v>
      </c>
      <c r="KN4" s="4">
        <v>0</v>
      </c>
      <c r="KO4" s="4">
        <v>0</v>
      </c>
      <c r="KP4" s="4">
        <v>2640</v>
      </c>
      <c r="KQ4" s="4">
        <v>49440</v>
      </c>
      <c r="KR4" s="4">
        <v>0</v>
      </c>
      <c r="KS4" s="4">
        <v>0</v>
      </c>
      <c r="KT4" s="4">
        <v>0</v>
      </c>
      <c r="KU4" s="4">
        <v>0</v>
      </c>
      <c r="KV4" s="4">
        <v>0</v>
      </c>
      <c r="KW4" s="4">
        <v>0</v>
      </c>
      <c r="KX4" s="4">
        <v>0</v>
      </c>
      <c r="KY4" s="4">
        <v>0</v>
      </c>
      <c r="KZ4" s="4">
        <v>0</v>
      </c>
      <c r="LA4" s="4">
        <v>0</v>
      </c>
      <c r="LB4" s="4">
        <v>0</v>
      </c>
      <c r="LC4" s="4">
        <v>0</v>
      </c>
      <c r="LD4" s="4">
        <v>0</v>
      </c>
      <c r="LE4" s="4">
        <v>0</v>
      </c>
      <c r="LF4" s="4">
        <v>0</v>
      </c>
      <c r="LG4" s="4">
        <v>0</v>
      </c>
      <c r="LH4" s="4">
        <v>0</v>
      </c>
      <c r="LI4" s="4">
        <v>0</v>
      </c>
      <c r="LJ4" s="4">
        <v>0</v>
      </c>
      <c r="LK4" s="4">
        <v>0</v>
      </c>
      <c r="LL4" s="4">
        <v>14457600</v>
      </c>
      <c r="LM4" s="4">
        <v>0</v>
      </c>
      <c r="LN4" s="4">
        <v>0</v>
      </c>
      <c r="LO4" s="4">
        <v>126825</v>
      </c>
      <c r="LP4" s="4">
        <v>2303904</v>
      </c>
      <c r="LQ4" s="4">
        <v>0</v>
      </c>
      <c r="LR4" s="4">
        <v>0</v>
      </c>
      <c r="LS4" s="4">
        <v>0</v>
      </c>
      <c r="LT4" s="4">
        <v>0</v>
      </c>
      <c r="LU4" s="4">
        <v>0</v>
      </c>
      <c r="LV4" s="4">
        <v>0</v>
      </c>
      <c r="LW4" s="4">
        <v>0</v>
      </c>
      <c r="LX4" s="4">
        <v>413520</v>
      </c>
      <c r="LY4" s="4">
        <v>16888329</v>
      </c>
      <c r="LZ4" s="4">
        <v>82742</v>
      </c>
      <c r="MA4" s="1" t="s">
        <v>714</v>
      </c>
      <c r="MB4" s="4">
        <v>0</v>
      </c>
      <c r="MC4" s="4">
        <v>0</v>
      </c>
      <c r="MD4" s="4">
        <v>0</v>
      </c>
      <c r="ME4" s="4">
        <v>0</v>
      </c>
      <c r="MF4" s="4">
        <v>0</v>
      </c>
      <c r="MG4" s="4">
        <v>0</v>
      </c>
      <c r="MH4" s="4">
        <v>0</v>
      </c>
      <c r="MI4" s="4">
        <v>0</v>
      </c>
      <c r="MJ4" s="4">
        <v>0</v>
      </c>
      <c r="MK4" s="4">
        <v>2640</v>
      </c>
      <c r="ML4" s="4">
        <v>323760</v>
      </c>
      <c r="MM4" s="4">
        <v>0</v>
      </c>
      <c r="MN4" s="4">
        <v>0</v>
      </c>
      <c r="MO4" s="4">
        <v>0</v>
      </c>
      <c r="MP4" s="4">
        <v>0</v>
      </c>
      <c r="MQ4" s="4">
        <v>0</v>
      </c>
      <c r="MR4" s="4">
        <v>0</v>
      </c>
      <c r="MS4" s="4">
        <v>0</v>
      </c>
      <c r="MT4" s="4">
        <v>29040</v>
      </c>
      <c r="MU4" s="4">
        <v>0</v>
      </c>
      <c r="MV4" s="4">
        <v>0</v>
      </c>
      <c r="MW4" s="4">
        <v>14880</v>
      </c>
      <c r="MX4" s="4">
        <v>4800</v>
      </c>
      <c r="MY4" s="4">
        <v>0</v>
      </c>
      <c r="MZ4" s="4">
        <v>0</v>
      </c>
      <c r="NA4" s="4">
        <v>0</v>
      </c>
      <c r="NB4" s="4">
        <v>0</v>
      </c>
      <c r="NC4" s="4">
        <v>0</v>
      </c>
      <c r="ND4" s="4">
        <v>0</v>
      </c>
      <c r="NE4" s="4">
        <v>0</v>
      </c>
      <c r="NF4" s="4">
        <v>0</v>
      </c>
      <c r="NG4" s="4">
        <v>0</v>
      </c>
      <c r="NH4" s="4">
        <v>140712</v>
      </c>
      <c r="NI4" s="4">
        <v>12950400</v>
      </c>
      <c r="NJ4" s="4">
        <v>0</v>
      </c>
      <c r="NK4" s="4">
        <v>0</v>
      </c>
      <c r="NL4" s="4">
        <v>0</v>
      </c>
      <c r="NM4" s="4">
        <v>0</v>
      </c>
      <c r="NN4" s="4">
        <v>0</v>
      </c>
      <c r="NO4" s="4">
        <v>0</v>
      </c>
      <c r="NP4" s="4">
        <v>0</v>
      </c>
      <c r="NQ4" s="4">
        <v>1573968</v>
      </c>
      <c r="NR4" s="4">
        <v>0</v>
      </c>
      <c r="NS4" s="4">
        <v>0</v>
      </c>
      <c r="NT4" s="4">
        <v>1654656</v>
      </c>
      <c r="NU4" s="4">
        <v>559680</v>
      </c>
      <c r="NV4" s="4">
        <v>375120</v>
      </c>
      <c r="NW4" s="4">
        <v>16879416</v>
      </c>
      <c r="NX4" s="4">
        <v>82757</v>
      </c>
      <c r="NY4" s="1" t="s">
        <v>485</v>
      </c>
      <c r="NZ4" s="4">
        <v>0</v>
      </c>
      <c r="OA4" s="4">
        <v>0</v>
      </c>
      <c r="OB4" s="4">
        <v>0</v>
      </c>
      <c r="OC4" s="4">
        <v>0</v>
      </c>
      <c r="OD4" s="4">
        <v>0</v>
      </c>
      <c r="OE4" s="4">
        <v>0</v>
      </c>
      <c r="OF4" s="4">
        <v>0</v>
      </c>
      <c r="OG4" s="4">
        <v>0</v>
      </c>
      <c r="OH4" s="4">
        <v>0</v>
      </c>
      <c r="OI4" s="4">
        <v>348000</v>
      </c>
      <c r="OJ4" s="4">
        <v>0</v>
      </c>
      <c r="OK4" s="4">
        <v>0</v>
      </c>
      <c r="OL4" s="4">
        <v>0</v>
      </c>
      <c r="OM4" s="4">
        <v>0</v>
      </c>
      <c r="ON4" s="4">
        <v>0</v>
      </c>
      <c r="OO4" s="4">
        <v>0</v>
      </c>
      <c r="OP4" s="4">
        <v>0</v>
      </c>
      <c r="OQ4" s="4">
        <v>0</v>
      </c>
      <c r="OR4" s="4">
        <v>0</v>
      </c>
      <c r="OS4" s="4">
        <v>0</v>
      </c>
      <c r="OT4" s="4">
        <v>26640</v>
      </c>
      <c r="OU4" s="4">
        <v>0</v>
      </c>
      <c r="OV4" s="4">
        <v>0</v>
      </c>
      <c r="OW4" s="4">
        <v>0</v>
      </c>
      <c r="OX4" s="4">
        <v>0</v>
      </c>
      <c r="OY4" s="4">
        <v>0</v>
      </c>
      <c r="OZ4" s="4">
        <v>0</v>
      </c>
      <c r="PA4" s="4">
        <v>0</v>
      </c>
      <c r="PB4" s="4">
        <v>0</v>
      </c>
      <c r="PC4" s="4">
        <v>0</v>
      </c>
      <c r="PD4" s="4">
        <v>0</v>
      </c>
      <c r="PE4" s="4">
        <v>13920000</v>
      </c>
      <c r="PF4" s="4">
        <v>0</v>
      </c>
      <c r="PG4" s="4">
        <v>0</v>
      </c>
      <c r="PH4" s="4">
        <v>0</v>
      </c>
      <c r="PI4" s="4">
        <v>0</v>
      </c>
      <c r="PJ4" s="4">
        <v>0</v>
      </c>
      <c r="PK4" s="4">
        <v>0</v>
      </c>
      <c r="PL4" s="4">
        <v>0</v>
      </c>
      <c r="PM4" s="4">
        <v>0</v>
      </c>
      <c r="PN4" s="4">
        <v>0</v>
      </c>
      <c r="PO4" s="4">
        <v>0</v>
      </c>
      <c r="PP4" s="4">
        <v>2962368</v>
      </c>
      <c r="PQ4" s="4">
        <v>0</v>
      </c>
      <c r="PR4" s="4">
        <v>374640</v>
      </c>
      <c r="PS4" s="4">
        <v>16882368</v>
      </c>
      <c r="PT4" s="4">
        <v>82743</v>
      </c>
      <c r="PU4" s="1" t="s">
        <v>714</v>
      </c>
      <c r="PV4" s="4">
        <v>0</v>
      </c>
      <c r="PW4" s="4">
        <v>0</v>
      </c>
      <c r="PX4" s="4">
        <v>0</v>
      </c>
      <c r="PY4" s="4">
        <v>0</v>
      </c>
      <c r="PZ4" s="4">
        <v>0</v>
      </c>
      <c r="QA4" s="4">
        <v>0</v>
      </c>
      <c r="QB4" s="4">
        <v>347520</v>
      </c>
      <c r="QC4" s="4">
        <v>0</v>
      </c>
      <c r="QD4" s="4">
        <v>0</v>
      </c>
      <c r="QE4" s="4">
        <v>0</v>
      </c>
      <c r="QF4" s="4">
        <v>0</v>
      </c>
      <c r="QG4" s="4">
        <v>0</v>
      </c>
      <c r="QH4" s="4">
        <v>54960</v>
      </c>
      <c r="QI4" s="4">
        <v>0</v>
      </c>
      <c r="QJ4" s="4">
        <v>0</v>
      </c>
      <c r="QK4" s="4">
        <v>0</v>
      </c>
      <c r="QL4" s="4">
        <v>0</v>
      </c>
      <c r="QM4" s="4">
        <v>0</v>
      </c>
      <c r="QN4" s="4">
        <v>0</v>
      </c>
      <c r="QO4" s="4">
        <v>0</v>
      </c>
      <c r="QP4" s="4">
        <v>0</v>
      </c>
      <c r="QQ4" s="4">
        <v>0</v>
      </c>
      <c r="QR4" s="4">
        <v>0</v>
      </c>
      <c r="QS4" s="4">
        <v>13900800</v>
      </c>
      <c r="QT4" s="4">
        <v>0</v>
      </c>
      <c r="QU4" s="4">
        <v>0</v>
      </c>
      <c r="QV4" s="4">
        <v>0</v>
      </c>
      <c r="QW4" s="4">
        <v>0</v>
      </c>
      <c r="QX4" s="4">
        <v>0</v>
      </c>
      <c r="QY4" s="4">
        <v>2978832</v>
      </c>
      <c r="QZ4" s="4">
        <v>0</v>
      </c>
      <c r="RA4" s="4">
        <v>0</v>
      </c>
      <c r="RB4" s="4">
        <v>0</v>
      </c>
      <c r="RC4" s="4">
        <v>0</v>
      </c>
      <c r="RD4" s="4">
        <v>402480</v>
      </c>
      <c r="RE4" s="4">
        <v>16879632</v>
      </c>
      <c r="RF4" s="4">
        <v>82748</v>
      </c>
      <c r="RG4" s="1" t="s">
        <v>783</v>
      </c>
      <c r="RH4" s="4">
        <v>0</v>
      </c>
      <c r="RI4" s="4">
        <v>0</v>
      </c>
      <c r="RJ4" s="4">
        <v>0</v>
      </c>
      <c r="RK4" s="4">
        <v>276000</v>
      </c>
      <c r="RL4" s="4">
        <v>0</v>
      </c>
      <c r="RM4" s="4">
        <v>0</v>
      </c>
      <c r="RN4" s="4">
        <v>0</v>
      </c>
      <c r="RO4" s="4">
        <v>0</v>
      </c>
      <c r="RP4" s="4">
        <v>0</v>
      </c>
      <c r="RQ4" s="4">
        <v>107760</v>
      </c>
      <c r="RR4" s="4">
        <v>0</v>
      </c>
      <c r="RS4" s="4">
        <v>0</v>
      </c>
      <c r="RT4" s="4">
        <v>0</v>
      </c>
      <c r="RU4" s="4">
        <v>0</v>
      </c>
      <c r="RV4" s="4">
        <v>0</v>
      </c>
      <c r="RW4" s="4">
        <v>0</v>
      </c>
      <c r="RX4" s="4">
        <v>0</v>
      </c>
      <c r="RY4" s="4">
        <v>11040000</v>
      </c>
      <c r="RZ4" s="4">
        <v>0</v>
      </c>
      <c r="SA4" s="4">
        <v>0</v>
      </c>
      <c r="SB4" s="4">
        <v>0</v>
      </c>
      <c r="SC4" s="4">
        <v>0</v>
      </c>
      <c r="SD4" s="4">
        <v>0</v>
      </c>
      <c r="SE4" s="4">
        <v>5840592</v>
      </c>
      <c r="SF4" s="4">
        <v>0</v>
      </c>
      <c r="SG4" s="4">
        <v>0</v>
      </c>
      <c r="SH4" s="4">
        <v>0</v>
      </c>
      <c r="SI4" s="4">
        <v>0</v>
      </c>
      <c r="SJ4" s="4">
        <v>383760</v>
      </c>
      <c r="SK4" s="4">
        <v>16880592</v>
      </c>
    </row>
    <row x14ac:dyDescent="0.25" r="5" customHeight="1" ht="18">
      <c r="A5" s="1" t="s">
        <v>879</v>
      </c>
      <c r="B5" s="4">
        <v>82776</v>
      </c>
      <c r="C5" s="2" t="s">
        <v>308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422160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16886400</v>
      </c>
      <c r="X5" s="4">
        <v>0</v>
      </c>
      <c r="Y5" s="4">
        <v>0</v>
      </c>
      <c r="Z5" s="4">
        <v>422160</v>
      </c>
      <c r="AA5" s="4">
        <v>16886400</v>
      </c>
      <c r="AB5" s="4">
        <v>82776</v>
      </c>
      <c r="AC5" s="1" t="s">
        <v>308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422160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16886400</v>
      </c>
      <c r="BF5" s="4">
        <v>0</v>
      </c>
      <c r="BG5" s="4">
        <v>0</v>
      </c>
      <c r="BH5" s="4">
        <v>422160</v>
      </c>
      <c r="BI5" s="4">
        <v>16886400</v>
      </c>
      <c r="BJ5" s="4">
        <v>20173</v>
      </c>
      <c r="BK5" s="1" t="s">
        <v>880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71760</v>
      </c>
      <c r="BY5" s="4">
        <v>6480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3420081</v>
      </c>
      <c r="CM5" s="4">
        <v>695217</v>
      </c>
      <c r="CN5" s="4">
        <v>78240</v>
      </c>
      <c r="CO5" s="4">
        <v>4115298</v>
      </c>
      <c r="CP5" s="4">
        <v>82794</v>
      </c>
      <c r="CQ5" s="1" t="s">
        <v>109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145440</v>
      </c>
      <c r="DI5" s="4">
        <v>232320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5817600</v>
      </c>
      <c r="EJ5" s="4">
        <v>11072371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377760</v>
      </c>
      <c r="EU5" s="4">
        <v>16889971</v>
      </c>
      <c r="EV5" s="4">
        <v>82799</v>
      </c>
      <c r="EW5" s="1" t="s">
        <v>467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107760</v>
      </c>
      <c r="FO5" s="4">
        <v>263760</v>
      </c>
      <c r="FP5" s="4">
        <v>0</v>
      </c>
      <c r="FQ5" s="4">
        <v>0</v>
      </c>
      <c r="FR5" s="4">
        <v>0</v>
      </c>
      <c r="FS5" s="4">
        <v>1680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4310400</v>
      </c>
      <c r="GS5" s="4">
        <v>12570801</v>
      </c>
      <c r="GT5" s="4">
        <v>0</v>
      </c>
      <c r="GU5" s="4">
        <v>0</v>
      </c>
      <c r="GV5" s="4">
        <v>0</v>
      </c>
      <c r="GW5" s="4">
        <v>9767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373200</v>
      </c>
      <c r="HG5" s="4">
        <v>16890969</v>
      </c>
      <c r="HH5" s="4">
        <v>82794</v>
      </c>
      <c r="HI5" s="1" t="s">
        <v>109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4">
        <v>0</v>
      </c>
      <c r="HW5" s="4">
        <v>0</v>
      </c>
      <c r="HX5" s="4">
        <v>0</v>
      </c>
      <c r="HY5" s="4">
        <v>0</v>
      </c>
      <c r="HZ5" s="4">
        <v>0</v>
      </c>
      <c r="IA5" s="4">
        <v>98640</v>
      </c>
      <c r="IB5" s="4">
        <v>243360</v>
      </c>
      <c r="IC5" s="4">
        <v>0</v>
      </c>
      <c r="ID5" s="4">
        <v>0</v>
      </c>
      <c r="IE5" s="4">
        <v>0</v>
      </c>
      <c r="IF5" s="4">
        <v>1200</v>
      </c>
      <c r="IG5" s="4">
        <v>0</v>
      </c>
      <c r="IH5" s="4">
        <v>0</v>
      </c>
      <c r="II5" s="4">
        <v>0</v>
      </c>
      <c r="IJ5" s="4">
        <v>0</v>
      </c>
      <c r="IK5" s="4">
        <v>0</v>
      </c>
      <c r="IL5" s="4">
        <v>0</v>
      </c>
      <c r="IM5" s="4">
        <v>0</v>
      </c>
      <c r="IN5" s="4">
        <v>12480</v>
      </c>
      <c r="IO5" s="4">
        <v>0</v>
      </c>
      <c r="IP5" s="4">
        <v>0</v>
      </c>
      <c r="IQ5" s="4">
        <v>0</v>
      </c>
      <c r="IR5" s="4">
        <v>0</v>
      </c>
      <c r="IS5" s="4">
        <v>0</v>
      </c>
      <c r="IT5" s="4">
        <v>0</v>
      </c>
      <c r="IU5" s="4">
        <v>0</v>
      </c>
      <c r="IV5" s="4">
        <v>0</v>
      </c>
      <c r="IW5" s="4">
        <v>0</v>
      </c>
      <c r="IX5" s="4">
        <v>0</v>
      </c>
      <c r="IY5" s="4">
        <v>0</v>
      </c>
      <c r="IZ5" s="4">
        <v>0</v>
      </c>
      <c r="JA5" s="4">
        <v>0</v>
      </c>
      <c r="JB5" s="4">
        <v>0</v>
      </c>
      <c r="JC5" s="4">
        <v>0</v>
      </c>
      <c r="JD5" s="4">
        <v>0</v>
      </c>
      <c r="JE5" s="4">
        <v>0</v>
      </c>
      <c r="JF5" s="4">
        <v>0</v>
      </c>
      <c r="JG5" s="4">
        <v>3945600</v>
      </c>
      <c r="JH5" s="4">
        <v>11598537</v>
      </c>
      <c r="JI5" s="4">
        <v>0</v>
      </c>
      <c r="JJ5" s="4">
        <v>0</v>
      </c>
      <c r="JK5" s="4">
        <v>0</v>
      </c>
      <c r="JL5" s="4">
        <v>6976</v>
      </c>
      <c r="JM5" s="4">
        <v>0</v>
      </c>
      <c r="JN5" s="4">
        <v>0</v>
      </c>
      <c r="JO5" s="4">
        <v>0</v>
      </c>
      <c r="JP5" s="4">
        <v>0</v>
      </c>
      <c r="JQ5" s="4">
        <v>0</v>
      </c>
      <c r="JR5" s="4">
        <v>0</v>
      </c>
      <c r="JS5" s="4">
        <v>0</v>
      </c>
      <c r="JT5" s="4">
        <v>1338936</v>
      </c>
      <c r="JU5" s="4">
        <v>0</v>
      </c>
      <c r="JV5" s="4">
        <v>355680</v>
      </c>
      <c r="JW5" s="4">
        <v>16890050</v>
      </c>
      <c r="JX5" s="4">
        <v>82752</v>
      </c>
      <c r="JY5" s="1" t="s">
        <v>783</v>
      </c>
      <c r="JZ5" s="4">
        <v>0</v>
      </c>
      <c r="KA5" s="4">
        <v>0</v>
      </c>
      <c r="KB5" s="4">
        <v>0</v>
      </c>
      <c r="KC5" s="4">
        <v>0</v>
      </c>
      <c r="KD5" s="4">
        <v>0</v>
      </c>
      <c r="KE5" s="4">
        <v>0</v>
      </c>
      <c r="KF5" s="4">
        <v>0</v>
      </c>
      <c r="KG5" s="4">
        <v>0</v>
      </c>
      <c r="KH5" s="4">
        <v>0</v>
      </c>
      <c r="KI5" s="4">
        <v>0</v>
      </c>
      <c r="KJ5" s="4">
        <v>0</v>
      </c>
      <c r="KK5" s="4">
        <v>0</v>
      </c>
      <c r="KL5" s="4">
        <v>0</v>
      </c>
      <c r="KM5" s="4">
        <v>0</v>
      </c>
      <c r="KN5" s="4">
        <v>300720</v>
      </c>
      <c r="KO5" s="4">
        <v>0</v>
      </c>
      <c r="KP5" s="4">
        <v>0</v>
      </c>
      <c r="KQ5" s="4">
        <v>0</v>
      </c>
      <c r="KR5" s="4">
        <v>0</v>
      </c>
      <c r="KS5" s="4">
        <v>0</v>
      </c>
      <c r="KT5" s="4">
        <v>0</v>
      </c>
      <c r="KU5" s="4">
        <v>0</v>
      </c>
      <c r="KV5" s="4">
        <v>0</v>
      </c>
      <c r="KW5" s="4">
        <v>23760</v>
      </c>
      <c r="KX5" s="4">
        <v>0</v>
      </c>
      <c r="KY5" s="4">
        <v>0</v>
      </c>
      <c r="KZ5" s="4">
        <v>0</v>
      </c>
      <c r="LA5" s="4">
        <v>0</v>
      </c>
      <c r="LB5" s="4">
        <v>0</v>
      </c>
      <c r="LC5" s="4">
        <v>0</v>
      </c>
      <c r="LD5" s="4">
        <v>0</v>
      </c>
      <c r="LE5" s="4">
        <v>0</v>
      </c>
      <c r="LF5" s="4">
        <v>0</v>
      </c>
      <c r="LG5" s="4">
        <v>0</v>
      </c>
      <c r="LH5" s="4">
        <v>0</v>
      </c>
      <c r="LI5" s="4">
        <v>0</v>
      </c>
      <c r="LJ5" s="4">
        <v>0</v>
      </c>
      <c r="LK5" s="4">
        <v>0</v>
      </c>
      <c r="LL5" s="4">
        <v>0</v>
      </c>
      <c r="LM5" s="4">
        <v>14332315</v>
      </c>
      <c r="LN5" s="4">
        <v>0</v>
      </c>
      <c r="LO5" s="4">
        <v>0</v>
      </c>
      <c r="LP5" s="4">
        <v>0</v>
      </c>
      <c r="LQ5" s="4">
        <v>0</v>
      </c>
      <c r="LR5" s="4">
        <v>0</v>
      </c>
      <c r="LS5" s="4">
        <v>0</v>
      </c>
      <c r="LT5" s="4">
        <v>0</v>
      </c>
      <c r="LU5" s="4">
        <v>0</v>
      </c>
      <c r="LV5" s="4">
        <v>2549129</v>
      </c>
      <c r="LW5" s="4">
        <v>0</v>
      </c>
      <c r="LX5" s="4">
        <v>324480</v>
      </c>
      <c r="LY5" s="4">
        <v>16881444</v>
      </c>
      <c r="LZ5" s="4">
        <v>82774</v>
      </c>
      <c r="MA5" s="1" t="s">
        <v>308</v>
      </c>
      <c r="MB5" s="4">
        <v>0</v>
      </c>
      <c r="MC5" s="4">
        <v>0</v>
      </c>
      <c r="MD5" s="4">
        <v>0</v>
      </c>
      <c r="ME5" s="4">
        <v>0</v>
      </c>
      <c r="MF5" s="4">
        <v>0</v>
      </c>
      <c r="MG5" s="4">
        <v>0</v>
      </c>
      <c r="MH5" s="4">
        <v>0</v>
      </c>
      <c r="MI5" s="4">
        <v>0</v>
      </c>
      <c r="MJ5" s="4">
        <v>0</v>
      </c>
      <c r="MK5" s="4">
        <v>0</v>
      </c>
      <c r="ML5" s="4">
        <v>0</v>
      </c>
      <c r="MM5" s="4">
        <v>235440</v>
      </c>
      <c r="MN5" s="4">
        <v>0</v>
      </c>
      <c r="MO5" s="4">
        <v>0</v>
      </c>
      <c r="MP5" s="4">
        <v>0</v>
      </c>
      <c r="MQ5" s="4">
        <v>0</v>
      </c>
      <c r="MR5" s="4">
        <v>0</v>
      </c>
      <c r="MS5" s="4">
        <v>0</v>
      </c>
      <c r="MT5" s="4">
        <v>0</v>
      </c>
      <c r="MU5" s="4">
        <v>0</v>
      </c>
      <c r="MV5" s="4">
        <v>52800</v>
      </c>
      <c r="MW5" s="4">
        <v>0</v>
      </c>
      <c r="MX5" s="4">
        <v>0</v>
      </c>
      <c r="MY5" s="4">
        <v>0</v>
      </c>
      <c r="MZ5" s="4">
        <v>0</v>
      </c>
      <c r="NA5" s="4">
        <v>0</v>
      </c>
      <c r="NB5" s="4">
        <v>0</v>
      </c>
      <c r="NC5" s="4">
        <v>0</v>
      </c>
      <c r="ND5" s="4">
        <v>0</v>
      </c>
      <c r="NE5" s="4">
        <v>0</v>
      </c>
      <c r="NF5" s="4">
        <v>0</v>
      </c>
      <c r="NG5" s="4">
        <v>0</v>
      </c>
      <c r="NH5" s="4">
        <v>0</v>
      </c>
      <c r="NI5" s="4">
        <v>0</v>
      </c>
      <c r="NJ5" s="4">
        <v>11221070</v>
      </c>
      <c r="NK5" s="4">
        <v>0</v>
      </c>
      <c r="NL5" s="4">
        <v>0</v>
      </c>
      <c r="NM5" s="4">
        <v>0</v>
      </c>
      <c r="NN5" s="4">
        <v>0</v>
      </c>
      <c r="NO5" s="4">
        <v>0</v>
      </c>
      <c r="NP5" s="4">
        <v>0</v>
      </c>
      <c r="NQ5" s="4">
        <v>0</v>
      </c>
      <c r="NR5" s="4">
        <v>0</v>
      </c>
      <c r="NS5" s="4">
        <v>5664731</v>
      </c>
      <c r="NT5" s="4">
        <v>0</v>
      </c>
      <c r="NU5" s="4">
        <v>0</v>
      </c>
      <c r="NV5" s="4">
        <v>288240</v>
      </c>
      <c r="NW5" s="4">
        <v>16885802</v>
      </c>
      <c r="NX5" s="4">
        <v>82780</v>
      </c>
      <c r="NY5" s="1" t="s">
        <v>466</v>
      </c>
      <c r="NZ5" s="4">
        <v>0</v>
      </c>
      <c r="OA5" s="4">
        <v>0</v>
      </c>
      <c r="OB5" s="4">
        <v>0</v>
      </c>
      <c r="OC5" s="4">
        <v>0</v>
      </c>
      <c r="OD5" s="4">
        <v>0</v>
      </c>
      <c r="OE5" s="4">
        <v>0</v>
      </c>
      <c r="OF5" s="4">
        <v>0</v>
      </c>
      <c r="OG5" s="4">
        <v>0</v>
      </c>
      <c r="OH5" s="4">
        <v>240</v>
      </c>
      <c r="OI5" s="4">
        <v>0</v>
      </c>
      <c r="OJ5" s="4">
        <v>233040</v>
      </c>
      <c r="OK5" s="4">
        <v>0</v>
      </c>
      <c r="OL5" s="4">
        <v>0</v>
      </c>
      <c r="OM5" s="4">
        <v>0</v>
      </c>
      <c r="ON5" s="4">
        <v>0</v>
      </c>
      <c r="OO5" s="4">
        <v>0</v>
      </c>
      <c r="OP5" s="4">
        <v>0</v>
      </c>
      <c r="OQ5" s="4">
        <v>0</v>
      </c>
      <c r="OR5" s="4">
        <v>0</v>
      </c>
      <c r="OS5" s="4">
        <v>53760</v>
      </c>
      <c r="OT5" s="4">
        <v>0</v>
      </c>
      <c r="OU5" s="4">
        <v>0</v>
      </c>
      <c r="OV5" s="4">
        <v>0</v>
      </c>
      <c r="OW5" s="4">
        <v>0</v>
      </c>
      <c r="OX5" s="4">
        <v>0</v>
      </c>
      <c r="OY5" s="4">
        <v>0</v>
      </c>
      <c r="OZ5" s="4">
        <v>0</v>
      </c>
      <c r="PA5" s="4">
        <v>0</v>
      </c>
      <c r="PB5" s="4">
        <v>0</v>
      </c>
      <c r="PC5" s="4">
        <v>0</v>
      </c>
      <c r="PD5" s="4">
        <v>12792</v>
      </c>
      <c r="PE5" s="4">
        <v>0</v>
      </c>
      <c r="PF5" s="4">
        <v>11106686</v>
      </c>
      <c r="PG5" s="4">
        <v>0</v>
      </c>
      <c r="PH5" s="4">
        <v>0</v>
      </c>
      <c r="PI5" s="4">
        <v>0</v>
      </c>
      <c r="PJ5" s="4">
        <v>0</v>
      </c>
      <c r="PK5" s="4">
        <v>0</v>
      </c>
      <c r="PL5" s="4">
        <v>0</v>
      </c>
      <c r="PM5" s="4">
        <v>0</v>
      </c>
      <c r="PN5" s="4">
        <v>0</v>
      </c>
      <c r="PO5" s="4">
        <v>5767726</v>
      </c>
      <c r="PP5" s="4">
        <v>0</v>
      </c>
      <c r="PQ5" s="4">
        <v>0</v>
      </c>
      <c r="PR5" s="4">
        <v>287040</v>
      </c>
      <c r="PS5" s="4">
        <v>16887205</v>
      </c>
      <c r="PT5" s="4">
        <v>82789</v>
      </c>
      <c r="PU5" s="1" t="s">
        <v>109</v>
      </c>
      <c r="PV5" s="4">
        <v>0</v>
      </c>
      <c r="PW5" s="4">
        <v>0</v>
      </c>
      <c r="PX5" s="4">
        <v>0</v>
      </c>
      <c r="PY5" s="4">
        <v>0</v>
      </c>
      <c r="PZ5" s="4">
        <v>0</v>
      </c>
      <c r="QA5" s="4">
        <v>0</v>
      </c>
      <c r="QB5" s="4">
        <v>0</v>
      </c>
      <c r="QC5" s="4">
        <v>224160</v>
      </c>
      <c r="QD5" s="4">
        <v>0</v>
      </c>
      <c r="QE5" s="4">
        <v>0</v>
      </c>
      <c r="QF5" s="4">
        <v>0</v>
      </c>
      <c r="QG5" s="4">
        <v>0</v>
      </c>
      <c r="QH5" s="4">
        <v>0</v>
      </c>
      <c r="QI5" s="4">
        <v>0</v>
      </c>
      <c r="QJ5" s="4">
        <v>57840</v>
      </c>
      <c r="QK5" s="4">
        <v>0</v>
      </c>
      <c r="QL5" s="4">
        <v>0</v>
      </c>
      <c r="QM5" s="4">
        <v>0</v>
      </c>
      <c r="QN5" s="4">
        <v>0</v>
      </c>
      <c r="QO5" s="4">
        <v>0</v>
      </c>
      <c r="QP5" s="4">
        <v>0</v>
      </c>
      <c r="QQ5" s="4">
        <v>0</v>
      </c>
      <c r="QR5" s="4">
        <v>0</v>
      </c>
      <c r="QS5" s="4">
        <v>0</v>
      </c>
      <c r="QT5" s="4">
        <v>10683465</v>
      </c>
      <c r="QU5" s="4">
        <v>0</v>
      </c>
      <c r="QV5" s="4">
        <v>0</v>
      </c>
      <c r="QW5" s="4">
        <v>0</v>
      </c>
      <c r="QX5" s="4">
        <v>0</v>
      </c>
      <c r="QY5" s="4">
        <v>0</v>
      </c>
      <c r="QZ5" s="4">
        <v>0</v>
      </c>
      <c r="RA5" s="4">
        <v>6205456</v>
      </c>
      <c r="RB5" s="4">
        <v>0</v>
      </c>
      <c r="RC5" s="4">
        <v>0</v>
      </c>
      <c r="RD5" s="4">
        <v>282000</v>
      </c>
      <c r="RE5" s="4">
        <v>16888921</v>
      </c>
      <c r="RF5" s="4">
        <v>82787</v>
      </c>
      <c r="RG5" s="1" t="s">
        <v>466</v>
      </c>
      <c r="RH5" s="4">
        <v>0</v>
      </c>
      <c r="RI5" s="4">
        <v>0</v>
      </c>
      <c r="RJ5" s="4">
        <v>0</v>
      </c>
      <c r="RK5" s="4">
        <v>0</v>
      </c>
      <c r="RL5" s="4">
        <v>116640</v>
      </c>
      <c r="RM5" s="4">
        <v>0</v>
      </c>
      <c r="RN5" s="4">
        <v>0</v>
      </c>
      <c r="RO5" s="4">
        <v>0</v>
      </c>
      <c r="RP5" s="4">
        <v>0</v>
      </c>
      <c r="RQ5" s="4">
        <v>0</v>
      </c>
      <c r="RR5" s="4">
        <v>0</v>
      </c>
      <c r="RS5" s="4">
        <v>105600</v>
      </c>
      <c r="RT5" s="4">
        <v>0</v>
      </c>
      <c r="RU5" s="4">
        <v>0</v>
      </c>
      <c r="RV5" s="4">
        <v>0</v>
      </c>
      <c r="RW5" s="4">
        <v>0</v>
      </c>
      <c r="RX5" s="4">
        <v>0</v>
      </c>
      <c r="RY5" s="4">
        <v>0</v>
      </c>
      <c r="RZ5" s="4">
        <v>5559062</v>
      </c>
      <c r="SA5" s="4">
        <v>0</v>
      </c>
      <c r="SB5" s="4">
        <v>0</v>
      </c>
      <c r="SC5" s="4">
        <v>0</v>
      </c>
      <c r="SD5" s="4">
        <v>0</v>
      </c>
      <c r="SE5" s="4">
        <v>0</v>
      </c>
      <c r="SF5" s="4">
        <v>0</v>
      </c>
      <c r="SG5" s="4">
        <v>11329463</v>
      </c>
      <c r="SH5" s="4">
        <v>0</v>
      </c>
      <c r="SI5" s="4">
        <v>0</v>
      </c>
      <c r="SJ5" s="4">
        <v>222240</v>
      </c>
      <c r="SK5" s="4">
        <v>16888525</v>
      </c>
    </row>
    <row x14ac:dyDescent="0.25" r="6" customHeight="1" ht="18">
      <c r="A6" s="1" t="s">
        <v>881</v>
      </c>
      <c r="B6" s="4">
        <v>82785</v>
      </c>
      <c r="C6" s="2" t="s">
        <v>466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38160</v>
      </c>
      <c r="M6" s="4">
        <v>322320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1526400</v>
      </c>
      <c r="X6" s="4">
        <v>15361771</v>
      </c>
      <c r="Y6" s="4">
        <v>0</v>
      </c>
      <c r="Z6" s="4">
        <v>360480</v>
      </c>
      <c r="AA6" s="4">
        <v>16888171</v>
      </c>
      <c r="AB6" s="4">
        <v>82771</v>
      </c>
      <c r="AC6" s="1" t="s">
        <v>465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243120</v>
      </c>
      <c r="AQ6" s="4">
        <v>150240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9724800</v>
      </c>
      <c r="BF6" s="4">
        <v>7160438</v>
      </c>
      <c r="BG6" s="4">
        <v>0</v>
      </c>
      <c r="BH6" s="4">
        <v>393360</v>
      </c>
      <c r="BI6" s="4">
        <v>16885238</v>
      </c>
      <c r="BJ6" s="4">
        <v>0</v>
      </c>
      <c r="BK6" s="1" t="s">
        <v>112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82800</v>
      </c>
      <c r="CQ6" s="1" t="s">
        <v>467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106560</v>
      </c>
      <c r="DJ6" s="4">
        <v>0</v>
      </c>
      <c r="DK6" s="4">
        <v>0</v>
      </c>
      <c r="DL6" s="4">
        <v>0</v>
      </c>
      <c r="DM6" s="4">
        <v>1440</v>
      </c>
      <c r="DN6" s="4">
        <v>0</v>
      </c>
      <c r="DO6" s="4">
        <v>240</v>
      </c>
      <c r="DP6" s="4">
        <v>0</v>
      </c>
      <c r="DQ6" s="4">
        <v>109920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5078649</v>
      </c>
      <c r="EK6" s="4">
        <v>0</v>
      </c>
      <c r="EL6" s="4">
        <v>0</v>
      </c>
      <c r="EM6" s="4">
        <v>0</v>
      </c>
      <c r="EN6" s="4">
        <v>8372</v>
      </c>
      <c r="EO6" s="4">
        <v>0</v>
      </c>
      <c r="EP6" s="4">
        <v>11184</v>
      </c>
      <c r="EQ6" s="4">
        <v>0</v>
      </c>
      <c r="ER6" s="4">
        <v>11792941</v>
      </c>
      <c r="ES6" s="4">
        <v>0</v>
      </c>
      <c r="ET6" s="4">
        <v>218160</v>
      </c>
      <c r="EU6" s="4">
        <v>16891147</v>
      </c>
      <c r="EV6" s="4">
        <v>82796</v>
      </c>
      <c r="EW6" s="1" t="s">
        <v>467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15840</v>
      </c>
      <c r="FP6" s="4">
        <v>0</v>
      </c>
      <c r="FQ6" s="4">
        <v>0</v>
      </c>
      <c r="FR6" s="4">
        <v>0</v>
      </c>
      <c r="FS6" s="4">
        <v>960</v>
      </c>
      <c r="FT6" s="4">
        <v>0</v>
      </c>
      <c r="FU6" s="4">
        <v>240</v>
      </c>
      <c r="FV6" s="4">
        <v>0</v>
      </c>
      <c r="FW6" s="4">
        <v>0</v>
      </c>
      <c r="FX6" s="4">
        <v>0</v>
      </c>
      <c r="FY6" s="4">
        <v>0</v>
      </c>
      <c r="FZ6" s="4">
        <v>150240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754934</v>
      </c>
      <c r="GT6" s="4">
        <v>0</v>
      </c>
      <c r="GU6" s="4">
        <v>0</v>
      </c>
      <c r="GV6" s="4">
        <v>0</v>
      </c>
      <c r="GW6" s="4">
        <v>5581</v>
      </c>
      <c r="GX6" s="4">
        <v>0</v>
      </c>
      <c r="GY6" s="4">
        <v>11184</v>
      </c>
      <c r="GZ6" s="4">
        <v>0</v>
      </c>
      <c r="HA6" s="4">
        <v>0</v>
      </c>
      <c r="HB6" s="4">
        <v>0</v>
      </c>
      <c r="HC6" s="4">
        <v>0</v>
      </c>
      <c r="HD6" s="4">
        <v>16118736</v>
      </c>
      <c r="HE6" s="4">
        <v>0</v>
      </c>
      <c r="HF6" s="4">
        <v>167280</v>
      </c>
      <c r="HG6" s="4">
        <v>16890436</v>
      </c>
      <c r="HH6" s="4">
        <v>82800</v>
      </c>
      <c r="HI6" s="1" t="s">
        <v>467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157440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16891200</v>
      </c>
      <c r="JU6" s="4">
        <v>0</v>
      </c>
      <c r="JV6" s="4">
        <v>157440</v>
      </c>
      <c r="JW6" s="4">
        <v>16891200</v>
      </c>
      <c r="JX6" s="4">
        <v>82800</v>
      </c>
      <c r="JY6" s="1" t="s">
        <v>467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157440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16891200</v>
      </c>
      <c r="LW6" s="4">
        <v>0</v>
      </c>
      <c r="LX6" s="4">
        <v>157440</v>
      </c>
      <c r="LY6" s="4">
        <v>16891200</v>
      </c>
      <c r="LZ6" s="4">
        <v>82800</v>
      </c>
      <c r="MA6" s="1" t="s">
        <v>467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157440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16891200</v>
      </c>
      <c r="NT6" s="4">
        <v>0</v>
      </c>
      <c r="NU6" s="4">
        <v>0</v>
      </c>
      <c r="NV6" s="4">
        <v>157440</v>
      </c>
      <c r="NW6" s="4">
        <v>16891200</v>
      </c>
      <c r="NX6" s="4">
        <v>82800</v>
      </c>
      <c r="NY6" s="1" t="s">
        <v>467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157440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16891200</v>
      </c>
      <c r="PP6" s="4">
        <v>0</v>
      </c>
      <c r="PQ6" s="4">
        <v>0</v>
      </c>
      <c r="PR6" s="4">
        <v>157440</v>
      </c>
      <c r="PS6" s="4">
        <v>16891200</v>
      </c>
      <c r="PT6" s="4">
        <v>82800</v>
      </c>
      <c r="PU6" s="1" t="s">
        <v>467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157440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16891200</v>
      </c>
      <c r="RB6" s="4">
        <v>0</v>
      </c>
      <c r="RC6" s="4">
        <v>0</v>
      </c>
      <c r="RD6" s="4">
        <v>157440</v>
      </c>
      <c r="RE6" s="4">
        <v>16891200</v>
      </c>
      <c r="RF6" s="4">
        <v>82800</v>
      </c>
      <c r="RG6" s="1" t="s">
        <v>467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157440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16891200</v>
      </c>
      <c r="SH6" s="4">
        <v>0</v>
      </c>
      <c r="SI6" s="4">
        <v>0</v>
      </c>
      <c r="SJ6" s="4">
        <v>157440</v>
      </c>
      <c r="SK6" s="4">
        <v>16891200</v>
      </c>
    </row>
    <row x14ac:dyDescent="0.25" r="7" customHeight="1" ht="18">
      <c r="A7" s="1" t="s">
        <v>882</v>
      </c>
      <c r="B7" s="4">
        <v>82740</v>
      </c>
      <c r="C7" s="2" t="s">
        <v>714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283920</v>
      </c>
      <c r="N7" s="4">
        <v>31200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13531627</v>
      </c>
      <c r="Y7" s="4">
        <v>3347341</v>
      </c>
      <c r="Z7" s="4">
        <v>315120</v>
      </c>
      <c r="AA7" s="4">
        <v>16878968</v>
      </c>
      <c r="AB7" s="4">
        <v>67167</v>
      </c>
      <c r="AC7" s="1" t="s">
        <v>883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210240</v>
      </c>
      <c r="AR7" s="4">
        <v>34320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10020038</v>
      </c>
      <c r="BG7" s="4">
        <v>3682075</v>
      </c>
      <c r="BH7" s="4">
        <v>244560</v>
      </c>
      <c r="BI7" s="4">
        <v>13702114</v>
      </c>
      <c r="BJ7" s="4">
        <v>0</v>
      </c>
      <c r="BK7" s="1" t="s">
        <v>112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65527</v>
      </c>
      <c r="CQ7" s="1" t="s">
        <v>884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240</v>
      </c>
      <c r="CZ7" s="4">
        <v>240</v>
      </c>
      <c r="DA7" s="4">
        <v>0</v>
      </c>
      <c r="DB7" s="4">
        <v>0</v>
      </c>
      <c r="DC7" s="4">
        <v>0</v>
      </c>
      <c r="DD7" s="4">
        <v>0</v>
      </c>
      <c r="DE7" s="4">
        <v>3120</v>
      </c>
      <c r="DF7" s="4">
        <v>240</v>
      </c>
      <c r="DG7" s="4">
        <v>0</v>
      </c>
      <c r="DH7" s="4">
        <v>0</v>
      </c>
      <c r="DI7" s="4">
        <v>0</v>
      </c>
      <c r="DJ7" s="4">
        <v>30000</v>
      </c>
      <c r="DK7" s="4">
        <v>0</v>
      </c>
      <c r="DL7" s="4">
        <v>240</v>
      </c>
      <c r="DM7" s="4">
        <v>53760</v>
      </c>
      <c r="DN7" s="4">
        <v>14880</v>
      </c>
      <c r="DO7" s="4">
        <v>56880</v>
      </c>
      <c r="DP7" s="4">
        <v>2400</v>
      </c>
      <c r="DQ7" s="4">
        <v>54480</v>
      </c>
      <c r="DR7" s="4">
        <v>720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37538</v>
      </c>
      <c r="EA7" s="4">
        <v>43406</v>
      </c>
      <c r="EB7" s="4">
        <v>0</v>
      </c>
      <c r="EC7" s="4">
        <v>0</v>
      </c>
      <c r="ED7" s="4">
        <v>0</v>
      </c>
      <c r="EE7" s="4">
        <v>0</v>
      </c>
      <c r="EF7" s="4">
        <v>166296</v>
      </c>
      <c r="EG7" s="4">
        <v>28423</v>
      </c>
      <c r="EH7" s="4">
        <v>0</v>
      </c>
      <c r="EI7" s="4">
        <v>0</v>
      </c>
      <c r="EJ7" s="4">
        <v>0</v>
      </c>
      <c r="EK7" s="4">
        <v>3149862</v>
      </c>
      <c r="EL7" s="4">
        <v>0</v>
      </c>
      <c r="EM7" s="4">
        <v>82248</v>
      </c>
      <c r="EN7" s="4">
        <v>312560</v>
      </c>
      <c r="EO7" s="4">
        <v>714835</v>
      </c>
      <c r="EP7" s="4">
        <v>2650608</v>
      </c>
      <c r="EQ7" s="4">
        <v>264687</v>
      </c>
      <c r="ER7" s="4">
        <v>5844973</v>
      </c>
      <c r="ES7" s="4">
        <v>72000</v>
      </c>
      <c r="ET7" s="4">
        <v>217200</v>
      </c>
      <c r="EU7" s="4">
        <v>13367439</v>
      </c>
      <c r="EV7" s="4">
        <v>82753</v>
      </c>
      <c r="EW7" s="1" t="s">
        <v>783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240</v>
      </c>
      <c r="FF7" s="4">
        <v>240</v>
      </c>
      <c r="FG7" s="4">
        <v>0</v>
      </c>
      <c r="FH7" s="4">
        <v>0</v>
      </c>
      <c r="FI7" s="4">
        <v>0</v>
      </c>
      <c r="FJ7" s="4">
        <v>0</v>
      </c>
      <c r="FK7" s="4">
        <v>3120</v>
      </c>
      <c r="FL7" s="4">
        <v>240</v>
      </c>
      <c r="FM7" s="4">
        <v>0</v>
      </c>
      <c r="FN7" s="4">
        <v>0</v>
      </c>
      <c r="FO7" s="4">
        <v>0</v>
      </c>
      <c r="FP7" s="4">
        <v>30000</v>
      </c>
      <c r="FQ7" s="4">
        <v>0</v>
      </c>
      <c r="FR7" s="4">
        <v>240</v>
      </c>
      <c r="FS7" s="4">
        <v>54960</v>
      </c>
      <c r="FT7" s="4">
        <v>14880</v>
      </c>
      <c r="FU7" s="4">
        <v>60000</v>
      </c>
      <c r="FV7" s="4">
        <v>24000</v>
      </c>
      <c r="FW7" s="4">
        <v>0</v>
      </c>
      <c r="FX7" s="4">
        <v>77760</v>
      </c>
      <c r="FY7" s="4">
        <v>13680</v>
      </c>
      <c r="FZ7" s="4">
        <v>17040</v>
      </c>
      <c r="GA7" s="4">
        <v>720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37538</v>
      </c>
      <c r="GJ7" s="4">
        <v>43406</v>
      </c>
      <c r="GK7" s="4">
        <v>0</v>
      </c>
      <c r="GL7" s="4">
        <v>0</v>
      </c>
      <c r="GM7" s="4">
        <v>0</v>
      </c>
      <c r="GN7" s="4">
        <v>0</v>
      </c>
      <c r="GO7" s="4">
        <v>166296</v>
      </c>
      <c r="GP7" s="4">
        <v>28423</v>
      </c>
      <c r="GQ7" s="4">
        <v>0</v>
      </c>
      <c r="GR7" s="4">
        <v>0</v>
      </c>
      <c r="GS7" s="4">
        <v>0</v>
      </c>
      <c r="GT7" s="4">
        <v>3149862</v>
      </c>
      <c r="GU7" s="4">
        <v>0</v>
      </c>
      <c r="GV7" s="4">
        <v>82248</v>
      </c>
      <c r="GW7" s="4">
        <v>319537</v>
      </c>
      <c r="GX7" s="4">
        <v>714835</v>
      </c>
      <c r="GY7" s="4">
        <v>2796000</v>
      </c>
      <c r="GZ7" s="4">
        <v>1920000</v>
      </c>
      <c r="HA7" s="4">
        <v>0</v>
      </c>
      <c r="HB7" s="4">
        <v>4214592</v>
      </c>
      <c r="HC7" s="4">
        <v>1508720</v>
      </c>
      <c r="HD7" s="4">
        <v>1828163</v>
      </c>
      <c r="HE7" s="4">
        <v>72000</v>
      </c>
      <c r="HF7" s="4">
        <v>297120</v>
      </c>
      <c r="HG7" s="4">
        <v>16881623</v>
      </c>
      <c r="HH7" s="4">
        <v>82794</v>
      </c>
      <c r="HI7" s="1" t="s">
        <v>109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240</v>
      </c>
      <c r="HS7" s="4">
        <v>240</v>
      </c>
      <c r="HT7" s="4">
        <v>0</v>
      </c>
      <c r="HU7" s="4">
        <v>0</v>
      </c>
      <c r="HV7" s="4">
        <v>0</v>
      </c>
      <c r="HW7" s="4">
        <v>0</v>
      </c>
      <c r="HX7" s="4">
        <v>0</v>
      </c>
      <c r="HY7" s="4">
        <v>240</v>
      </c>
      <c r="HZ7" s="4">
        <v>0</v>
      </c>
      <c r="IA7" s="4">
        <v>0</v>
      </c>
      <c r="IB7" s="4">
        <v>0</v>
      </c>
      <c r="IC7" s="4">
        <v>30000</v>
      </c>
      <c r="ID7" s="4">
        <v>0</v>
      </c>
      <c r="IE7" s="4">
        <v>240</v>
      </c>
      <c r="IF7" s="4">
        <v>0</v>
      </c>
      <c r="IG7" s="4">
        <v>14880</v>
      </c>
      <c r="IH7" s="4">
        <v>61440</v>
      </c>
      <c r="II7" s="4">
        <v>0</v>
      </c>
      <c r="IJ7" s="4">
        <v>0</v>
      </c>
      <c r="IK7" s="4">
        <v>0</v>
      </c>
      <c r="IL7" s="4">
        <v>0</v>
      </c>
      <c r="IM7" s="4">
        <v>33120</v>
      </c>
      <c r="IN7" s="4">
        <v>8640</v>
      </c>
      <c r="IO7" s="4">
        <v>48480</v>
      </c>
      <c r="IP7" s="4">
        <v>0</v>
      </c>
      <c r="IQ7" s="4">
        <v>0</v>
      </c>
      <c r="IR7" s="4">
        <v>0</v>
      </c>
      <c r="IS7" s="4">
        <v>0</v>
      </c>
      <c r="IT7" s="4">
        <v>0</v>
      </c>
      <c r="IU7" s="4">
        <v>0</v>
      </c>
      <c r="IV7" s="4">
        <v>0</v>
      </c>
      <c r="IW7" s="4">
        <v>0</v>
      </c>
      <c r="IX7" s="4">
        <v>37538</v>
      </c>
      <c r="IY7" s="4">
        <v>43406</v>
      </c>
      <c r="IZ7" s="4">
        <v>0</v>
      </c>
      <c r="JA7" s="4">
        <v>0</v>
      </c>
      <c r="JB7" s="4">
        <v>0</v>
      </c>
      <c r="JC7" s="4">
        <v>0</v>
      </c>
      <c r="JD7" s="4">
        <v>0</v>
      </c>
      <c r="JE7" s="4">
        <v>28423</v>
      </c>
      <c r="JF7" s="4">
        <v>0</v>
      </c>
      <c r="JG7" s="4">
        <v>0</v>
      </c>
      <c r="JH7" s="4">
        <v>0</v>
      </c>
      <c r="JI7" s="4">
        <v>3149862</v>
      </c>
      <c r="JJ7" s="4">
        <v>0</v>
      </c>
      <c r="JK7" s="4">
        <v>82248</v>
      </c>
      <c r="JL7" s="4">
        <v>0</v>
      </c>
      <c r="JM7" s="4">
        <v>714835</v>
      </c>
      <c r="JN7" s="4">
        <v>2863104</v>
      </c>
      <c r="JO7" s="4">
        <v>0</v>
      </c>
      <c r="JP7" s="4">
        <v>0</v>
      </c>
      <c r="JQ7" s="4">
        <v>0</v>
      </c>
      <c r="JR7" s="4">
        <v>0</v>
      </c>
      <c r="JS7" s="4">
        <v>3652691</v>
      </c>
      <c r="JT7" s="4">
        <v>926956</v>
      </c>
      <c r="JU7" s="4">
        <v>5390976</v>
      </c>
      <c r="JV7" s="4">
        <v>197520</v>
      </c>
      <c r="JW7" s="4">
        <v>16890041</v>
      </c>
      <c r="JX7" s="4">
        <v>82788</v>
      </c>
      <c r="JY7" s="1" t="s">
        <v>109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0</v>
      </c>
      <c r="KJ7" s="4">
        <v>0</v>
      </c>
      <c r="KK7" s="4">
        <v>240</v>
      </c>
      <c r="KL7" s="4">
        <v>0</v>
      </c>
      <c r="KM7" s="4">
        <v>0</v>
      </c>
      <c r="KN7" s="4">
        <v>0</v>
      </c>
      <c r="KO7" s="4">
        <v>12240</v>
      </c>
      <c r="KP7" s="4">
        <v>12240</v>
      </c>
      <c r="KQ7" s="4">
        <v>0</v>
      </c>
      <c r="KR7" s="4">
        <v>0</v>
      </c>
      <c r="KS7" s="4">
        <v>0</v>
      </c>
      <c r="KT7" s="4">
        <v>0</v>
      </c>
      <c r="KU7" s="4">
        <v>0</v>
      </c>
      <c r="KV7" s="4">
        <v>16560</v>
      </c>
      <c r="KW7" s="4">
        <v>36000</v>
      </c>
      <c r="KX7" s="4">
        <v>83760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0</v>
      </c>
      <c r="LH7" s="4">
        <v>0</v>
      </c>
      <c r="LI7" s="4">
        <v>0</v>
      </c>
      <c r="LJ7" s="4">
        <v>12792</v>
      </c>
      <c r="LK7" s="4">
        <v>0</v>
      </c>
      <c r="LL7" s="4">
        <v>0</v>
      </c>
      <c r="LM7" s="4">
        <v>0</v>
      </c>
      <c r="LN7" s="4">
        <v>1285144</v>
      </c>
      <c r="LO7" s="4">
        <v>588009</v>
      </c>
      <c r="LP7" s="4">
        <v>0</v>
      </c>
      <c r="LQ7" s="4">
        <v>0</v>
      </c>
      <c r="LR7" s="4">
        <v>0</v>
      </c>
      <c r="LS7" s="4">
        <v>0</v>
      </c>
      <c r="LT7" s="4">
        <v>0</v>
      </c>
      <c r="LU7" s="4">
        <v>1826345</v>
      </c>
      <c r="LV7" s="4">
        <v>3862317</v>
      </c>
      <c r="LW7" s="4">
        <v>9314112</v>
      </c>
      <c r="LX7" s="4">
        <v>161040</v>
      </c>
      <c r="LY7" s="4">
        <v>16888720</v>
      </c>
      <c r="LZ7" s="4">
        <v>82797</v>
      </c>
      <c r="MA7" s="1" t="s">
        <v>467</v>
      </c>
      <c r="MB7" s="4">
        <v>0</v>
      </c>
      <c r="MC7" s="4">
        <v>0</v>
      </c>
      <c r="MD7" s="4">
        <v>0</v>
      </c>
      <c r="ME7" s="4">
        <v>0</v>
      </c>
      <c r="MF7" s="4">
        <v>0</v>
      </c>
      <c r="MG7" s="4">
        <v>0</v>
      </c>
      <c r="MH7" s="4">
        <v>0</v>
      </c>
      <c r="MI7" s="4">
        <v>0</v>
      </c>
      <c r="MJ7" s="4">
        <v>0</v>
      </c>
      <c r="MK7" s="4">
        <v>0</v>
      </c>
      <c r="ML7" s="4">
        <v>0</v>
      </c>
      <c r="MM7" s="4">
        <v>0</v>
      </c>
      <c r="MN7" s="4">
        <v>24960</v>
      </c>
      <c r="MO7" s="4">
        <v>0</v>
      </c>
      <c r="MP7" s="4">
        <v>0</v>
      </c>
      <c r="MQ7" s="4">
        <v>0</v>
      </c>
      <c r="MR7" s="4">
        <v>0</v>
      </c>
      <c r="MS7" s="4">
        <v>0</v>
      </c>
      <c r="MT7" s="4">
        <v>51840</v>
      </c>
      <c r="MU7" s="4">
        <v>26400</v>
      </c>
      <c r="MV7" s="4">
        <v>79680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0</v>
      </c>
      <c r="NE7" s="4">
        <v>0</v>
      </c>
      <c r="NF7" s="4">
        <v>0</v>
      </c>
      <c r="NG7" s="4">
        <v>0</v>
      </c>
      <c r="NH7" s="4">
        <v>0</v>
      </c>
      <c r="NI7" s="4">
        <v>0</v>
      </c>
      <c r="NJ7" s="4">
        <v>0</v>
      </c>
      <c r="NK7" s="4">
        <v>2620685</v>
      </c>
      <c r="NL7" s="4">
        <v>0</v>
      </c>
      <c r="NM7" s="4">
        <v>0</v>
      </c>
      <c r="NN7" s="4">
        <v>0</v>
      </c>
      <c r="NO7" s="4">
        <v>0</v>
      </c>
      <c r="NP7" s="4">
        <v>0</v>
      </c>
      <c r="NQ7" s="4">
        <v>2809728</v>
      </c>
      <c r="NR7" s="4">
        <v>2911565</v>
      </c>
      <c r="NS7" s="4">
        <v>8548595</v>
      </c>
      <c r="NT7" s="4">
        <v>0</v>
      </c>
      <c r="NU7" s="4">
        <v>0</v>
      </c>
      <c r="NV7" s="4">
        <v>182880</v>
      </c>
      <c r="NW7" s="4">
        <v>16890574</v>
      </c>
      <c r="NX7" s="4">
        <v>82800</v>
      </c>
      <c r="NY7" s="1" t="s">
        <v>467</v>
      </c>
      <c r="NZ7" s="4">
        <v>0</v>
      </c>
      <c r="OA7" s="4">
        <v>0</v>
      </c>
      <c r="OB7" s="4">
        <v>0</v>
      </c>
      <c r="OC7" s="4">
        <v>0</v>
      </c>
      <c r="OD7" s="4">
        <v>0</v>
      </c>
      <c r="OE7" s="4">
        <v>0</v>
      </c>
      <c r="OF7" s="4">
        <v>0</v>
      </c>
      <c r="OG7" s="4">
        <v>0</v>
      </c>
      <c r="OH7" s="4">
        <v>0</v>
      </c>
      <c r="OI7" s="4">
        <v>0</v>
      </c>
      <c r="OJ7" s="4">
        <v>0</v>
      </c>
      <c r="OK7" s="4">
        <v>0</v>
      </c>
      <c r="OL7" s="4">
        <v>0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157440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0</v>
      </c>
      <c r="PA7" s="4">
        <v>0</v>
      </c>
      <c r="PB7" s="4">
        <v>0</v>
      </c>
      <c r="PC7" s="4">
        <v>0</v>
      </c>
      <c r="PD7" s="4">
        <v>0</v>
      </c>
      <c r="PE7" s="4">
        <v>0</v>
      </c>
      <c r="PF7" s="4">
        <v>0</v>
      </c>
      <c r="PG7" s="4">
        <v>0</v>
      </c>
      <c r="PH7" s="4">
        <v>0</v>
      </c>
      <c r="PI7" s="4">
        <v>0</v>
      </c>
      <c r="PJ7" s="4">
        <v>0</v>
      </c>
      <c r="PK7" s="4">
        <v>0</v>
      </c>
      <c r="PL7" s="4">
        <v>0</v>
      </c>
      <c r="PM7" s="4">
        <v>0</v>
      </c>
      <c r="PN7" s="4">
        <v>0</v>
      </c>
      <c r="PO7" s="4">
        <v>16891200</v>
      </c>
      <c r="PP7" s="4">
        <v>0</v>
      </c>
      <c r="PQ7" s="4">
        <v>0</v>
      </c>
      <c r="PR7" s="4">
        <v>157440</v>
      </c>
      <c r="PS7" s="4">
        <v>16891200</v>
      </c>
      <c r="PT7" s="4">
        <v>82800</v>
      </c>
      <c r="PU7" s="1" t="s">
        <v>467</v>
      </c>
      <c r="PV7" s="4">
        <v>0</v>
      </c>
      <c r="PW7" s="4">
        <v>0</v>
      </c>
      <c r="PX7" s="4">
        <v>0</v>
      </c>
      <c r="PY7" s="4">
        <v>0</v>
      </c>
      <c r="PZ7" s="4">
        <v>0</v>
      </c>
      <c r="QA7" s="4">
        <v>0</v>
      </c>
      <c r="QB7" s="4">
        <v>0</v>
      </c>
      <c r="QC7" s="4">
        <v>0</v>
      </c>
      <c r="QD7" s="4">
        <v>0</v>
      </c>
      <c r="QE7" s="4">
        <v>0</v>
      </c>
      <c r="QF7" s="4">
        <v>0</v>
      </c>
      <c r="QG7" s="4">
        <v>0</v>
      </c>
      <c r="QH7" s="4">
        <v>0</v>
      </c>
      <c r="QI7" s="4">
        <v>0</v>
      </c>
      <c r="QJ7" s="4">
        <v>157440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0</v>
      </c>
      <c r="QW7" s="4">
        <v>0</v>
      </c>
      <c r="QX7" s="4">
        <v>0</v>
      </c>
      <c r="QY7" s="4">
        <v>0</v>
      </c>
      <c r="QZ7" s="4">
        <v>0</v>
      </c>
      <c r="RA7" s="4">
        <v>16891200</v>
      </c>
      <c r="RB7" s="4">
        <v>0</v>
      </c>
      <c r="RC7" s="4">
        <v>0</v>
      </c>
      <c r="RD7" s="4">
        <v>157440</v>
      </c>
      <c r="RE7" s="4">
        <v>16891200</v>
      </c>
      <c r="RF7" s="4">
        <v>82778</v>
      </c>
      <c r="RG7" s="1" t="s">
        <v>308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240</v>
      </c>
      <c r="RR7" s="4">
        <v>19920</v>
      </c>
      <c r="RS7" s="4">
        <v>136800</v>
      </c>
      <c r="RT7" s="4">
        <v>0</v>
      </c>
      <c r="RU7" s="4">
        <v>0</v>
      </c>
      <c r="RV7" s="4">
        <v>0</v>
      </c>
      <c r="RW7" s="4">
        <v>0</v>
      </c>
      <c r="RX7" s="4">
        <v>0</v>
      </c>
      <c r="RY7" s="4">
        <v>0</v>
      </c>
      <c r="RZ7" s="4">
        <v>0</v>
      </c>
      <c r="SA7" s="4">
        <v>0</v>
      </c>
      <c r="SB7" s="4">
        <v>0</v>
      </c>
      <c r="SC7" s="4">
        <v>0</v>
      </c>
      <c r="SD7" s="4">
        <v>0</v>
      </c>
      <c r="SE7" s="4">
        <v>13008</v>
      </c>
      <c r="SF7" s="4">
        <v>2196908</v>
      </c>
      <c r="SG7" s="4">
        <v>14676804</v>
      </c>
      <c r="SH7" s="4">
        <v>0</v>
      </c>
      <c r="SI7" s="4">
        <v>0</v>
      </c>
      <c r="SJ7" s="4">
        <v>156960</v>
      </c>
      <c r="SK7" s="4">
        <v>16886721</v>
      </c>
    </row>
    <row x14ac:dyDescent="0.25" r="8" customHeight="1" ht="18">
      <c r="A8" s="1" t="s">
        <v>885</v>
      </c>
      <c r="B8" s="4">
        <v>11738</v>
      </c>
      <c r="C8" s="2" t="s">
        <v>886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22320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2394636</v>
      </c>
      <c r="Z8" s="4">
        <v>22320</v>
      </c>
      <c r="AA8" s="4">
        <v>2394636</v>
      </c>
      <c r="AB8" s="4">
        <v>0</v>
      </c>
      <c r="AC8" s="1" t="s">
        <v>112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1" t="s">
        <v>112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1" t="s">
        <v>112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14222</v>
      </c>
      <c r="EW8" s="1" t="s">
        <v>887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19680</v>
      </c>
      <c r="FW8" s="4">
        <v>24480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1574400</v>
      </c>
      <c r="HA8" s="4">
        <v>1326816</v>
      </c>
      <c r="HB8" s="4">
        <v>0</v>
      </c>
      <c r="HC8" s="4">
        <v>0</v>
      </c>
      <c r="HD8" s="4">
        <v>0</v>
      </c>
      <c r="HE8" s="4">
        <v>0</v>
      </c>
      <c r="HF8" s="4">
        <v>44160</v>
      </c>
      <c r="HG8" s="4">
        <v>2901216</v>
      </c>
      <c r="HH8" s="4">
        <v>82738</v>
      </c>
      <c r="HI8" s="1" t="s">
        <v>502</v>
      </c>
      <c r="HJ8" s="4">
        <v>0</v>
      </c>
      <c r="HK8" s="4">
        <v>0</v>
      </c>
      <c r="HL8" s="4">
        <v>45360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4">
        <v>0</v>
      </c>
      <c r="HW8" s="4">
        <v>0</v>
      </c>
      <c r="HX8" s="4">
        <v>3120</v>
      </c>
      <c r="HY8" s="4">
        <v>0</v>
      </c>
      <c r="HZ8" s="4">
        <v>0</v>
      </c>
      <c r="IA8" s="4">
        <v>0</v>
      </c>
      <c r="IB8" s="4">
        <v>0</v>
      </c>
      <c r="IC8" s="4">
        <v>0</v>
      </c>
      <c r="ID8" s="4">
        <v>0</v>
      </c>
      <c r="IE8" s="4">
        <v>0</v>
      </c>
      <c r="IF8" s="4">
        <v>24960</v>
      </c>
      <c r="IG8" s="4">
        <v>0</v>
      </c>
      <c r="IH8" s="4">
        <v>0</v>
      </c>
      <c r="II8" s="4">
        <v>34800</v>
      </c>
      <c r="IJ8" s="4">
        <v>0</v>
      </c>
      <c r="IK8" s="4">
        <v>13680</v>
      </c>
      <c r="IL8" s="4">
        <v>155520</v>
      </c>
      <c r="IM8" s="4">
        <v>0</v>
      </c>
      <c r="IN8" s="4">
        <v>0</v>
      </c>
      <c r="IO8" s="4">
        <v>16560</v>
      </c>
      <c r="IP8" s="4">
        <v>0</v>
      </c>
      <c r="IQ8" s="4">
        <v>0</v>
      </c>
      <c r="IR8" s="4">
        <v>2435832</v>
      </c>
      <c r="IS8" s="4">
        <v>0</v>
      </c>
      <c r="IT8" s="4">
        <v>0</v>
      </c>
      <c r="IU8" s="4">
        <v>0</v>
      </c>
      <c r="IV8" s="4">
        <v>0</v>
      </c>
      <c r="IW8" s="4">
        <v>0</v>
      </c>
      <c r="IX8" s="4">
        <v>0</v>
      </c>
      <c r="IY8" s="4">
        <v>0</v>
      </c>
      <c r="IZ8" s="4">
        <v>0</v>
      </c>
      <c r="JA8" s="4">
        <v>0</v>
      </c>
      <c r="JB8" s="4">
        <v>0</v>
      </c>
      <c r="JC8" s="4">
        <v>0</v>
      </c>
      <c r="JD8" s="4">
        <v>166296</v>
      </c>
      <c r="JE8" s="4">
        <v>0</v>
      </c>
      <c r="JF8" s="4">
        <v>0</v>
      </c>
      <c r="JG8" s="4">
        <v>0</v>
      </c>
      <c r="JH8" s="4">
        <v>0</v>
      </c>
      <c r="JI8" s="4">
        <v>0</v>
      </c>
      <c r="JJ8" s="4">
        <v>0</v>
      </c>
      <c r="JK8" s="4">
        <v>0</v>
      </c>
      <c r="JL8" s="4">
        <v>145117</v>
      </c>
      <c r="JM8" s="4">
        <v>0</v>
      </c>
      <c r="JN8" s="4">
        <v>0</v>
      </c>
      <c r="JO8" s="4">
        <v>2784000</v>
      </c>
      <c r="JP8" s="4">
        <v>0</v>
      </c>
      <c r="JQ8" s="4">
        <v>1076616</v>
      </c>
      <c r="JR8" s="4">
        <v>8429184</v>
      </c>
      <c r="JS8" s="4">
        <v>0</v>
      </c>
      <c r="JT8" s="4">
        <v>0</v>
      </c>
      <c r="JU8" s="4">
        <v>1841472</v>
      </c>
      <c r="JV8" s="4">
        <v>294000</v>
      </c>
      <c r="JW8" s="4">
        <v>16878517</v>
      </c>
      <c r="JX8" s="4">
        <v>82794</v>
      </c>
      <c r="JY8" s="1" t="s">
        <v>109</v>
      </c>
      <c r="JZ8" s="4">
        <v>0</v>
      </c>
      <c r="KA8" s="4">
        <v>0</v>
      </c>
      <c r="KB8" s="4">
        <v>120240</v>
      </c>
      <c r="KC8" s="4">
        <v>0</v>
      </c>
      <c r="KD8" s="4">
        <v>0</v>
      </c>
      <c r="KE8" s="4">
        <v>0</v>
      </c>
      <c r="KF8" s="4">
        <v>0</v>
      </c>
      <c r="KG8" s="4">
        <v>0</v>
      </c>
      <c r="KH8" s="4">
        <v>0</v>
      </c>
      <c r="KI8" s="4">
        <v>0</v>
      </c>
      <c r="KJ8" s="4">
        <v>0</v>
      </c>
      <c r="KK8" s="4">
        <v>2880</v>
      </c>
      <c r="KL8" s="4">
        <v>0</v>
      </c>
      <c r="KM8" s="4">
        <v>0</v>
      </c>
      <c r="KN8" s="4">
        <v>0</v>
      </c>
      <c r="KO8" s="4">
        <v>0</v>
      </c>
      <c r="KP8" s="4">
        <v>0</v>
      </c>
      <c r="KQ8" s="4">
        <v>0</v>
      </c>
      <c r="KR8" s="4">
        <v>0</v>
      </c>
      <c r="KS8" s="4">
        <v>240</v>
      </c>
      <c r="KT8" s="4">
        <v>10800</v>
      </c>
      <c r="KU8" s="4">
        <v>155520</v>
      </c>
      <c r="KV8" s="4">
        <v>0</v>
      </c>
      <c r="KW8" s="4">
        <v>0</v>
      </c>
      <c r="KX8" s="4">
        <v>8880</v>
      </c>
      <c r="KY8" s="4">
        <v>0</v>
      </c>
      <c r="KZ8" s="4">
        <v>0</v>
      </c>
      <c r="LA8" s="4">
        <v>6456888</v>
      </c>
      <c r="LB8" s="4">
        <v>0</v>
      </c>
      <c r="LC8" s="4">
        <v>0</v>
      </c>
      <c r="LD8" s="4">
        <v>0</v>
      </c>
      <c r="LE8" s="4">
        <v>0</v>
      </c>
      <c r="LF8" s="4">
        <v>0</v>
      </c>
      <c r="LG8" s="4">
        <v>0</v>
      </c>
      <c r="LH8" s="4">
        <v>0</v>
      </c>
      <c r="LI8" s="4">
        <v>0</v>
      </c>
      <c r="LJ8" s="4">
        <v>153503</v>
      </c>
      <c r="LK8" s="4">
        <v>0</v>
      </c>
      <c r="LL8" s="4">
        <v>0</v>
      </c>
      <c r="LM8" s="4">
        <v>0</v>
      </c>
      <c r="LN8" s="4">
        <v>0</v>
      </c>
      <c r="LO8" s="4">
        <v>0</v>
      </c>
      <c r="LP8" s="4">
        <v>0</v>
      </c>
      <c r="LQ8" s="4">
        <v>0</v>
      </c>
      <c r="LR8" s="4">
        <v>13008</v>
      </c>
      <c r="LS8" s="4">
        <v>849960</v>
      </c>
      <c r="LT8" s="4">
        <v>8429184</v>
      </c>
      <c r="LU8" s="4">
        <v>0</v>
      </c>
      <c r="LV8" s="4">
        <v>0</v>
      </c>
      <c r="LW8" s="4">
        <v>987456</v>
      </c>
      <c r="LX8" s="4">
        <v>298560</v>
      </c>
      <c r="LY8" s="4">
        <v>16890000</v>
      </c>
      <c r="LZ8" s="4">
        <v>82765</v>
      </c>
      <c r="MA8" s="1" t="s">
        <v>465</v>
      </c>
      <c r="MB8" s="4">
        <v>139440</v>
      </c>
      <c r="MC8" s="4">
        <v>0</v>
      </c>
      <c r="MD8" s="4">
        <v>0</v>
      </c>
      <c r="ME8" s="4">
        <v>0</v>
      </c>
      <c r="MF8" s="4">
        <v>0</v>
      </c>
      <c r="MG8" s="4">
        <v>0</v>
      </c>
      <c r="MH8" s="4">
        <v>0</v>
      </c>
      <c r="MI8" s="4">
        <v>0</v>
      </c>
      <c r="MJ8" s="4">
        <v>0</v>
      </c>
      <c r="MK8" s="4">
        <v>0</v>
      </c>
      <c r="ML8" s="4">
        <v>0</v>
      </c>
      <c r="MM8" s="4">
        <v>0</v>
      </c>
      <c r="MN8" s="4">
        <v>0</v>
      </c>
      <c r="MO8" s="4">
        <v>0</v>
      </c>
      <c r="MP8" s="4">
        <v>0</v>
      </c>
      <c r="MQ8" s="4">
        <v>33120</v>
      </c>
      <c r="MR8" s="4">
        <v>0</v>
      </c>
      <c r="MS8" s="4">
        <v>34320</v>
      </c>
      <c r="MT8" s="4">
        <v>74640</v>
      </c>
      <c r="MU8" s="4">
        <v>0</v>
      </c>
      <c r="MV8" s="4">
        <v>0</v>
      </c>
      <c r="MW8" s="4">
        <v>0</v>
      </c>
      <c r="MX8" s="4">
        <v>0</v>
      </c>
      <c r="MY8" s="4">
        <v>7487928</v>
      </c>
      <c r="MZ8" s="4">
        <v>0</v>
      </c>
      <c r="NA8" s="4">
        <v>0</v>
      </c>
      <c r="NB8" s="4">
        <v>0</v>
      </c>
      <c r="NC8" s="4">
        <v>0</v>
      </c>
      <c r="ND8" s="4">
        <v>0</v>
      </c>
      <c r="NE8" s="4">
        <v>0</v>
      </c>
      <c r="NF8" s="4">
        <v>0</v>
      </c>
      <c r="NG8" s="4">
        <v>0</v>
      </c>
      <c r="NH8" s="4">
        <v>0</v>
      </c>
      <c r="NI8" s="4">
        <v>0</v>
      </c>
      <c r="NJ8" s="4">
        <v>0</v>
      </c>
      <c r="NK8" s="4">
        <v>0</v>
      </c>
      <c r="NL8" s="4">
        <v>0</v>
      </c>
      <c r="NM8" s="4">
        <v>0</v>
      </c>
      <c r="NN8" s="4">
        <v>2649600</v>
      </c>
      <c r="NO8" s="4">
        <v>0</v>
      </c>
      <c r="NP8" s="4">
        <v>2700984</v>
      </c>
      <c r="NQ8" s="4">
        <v>4045488</v>
      </c>
      <c r="NR8" s="4">
        <v>0</v>
      </c>
      <c r="NS8" s="4">
        <v>0</v>
      </c>
      <c r="NT8" s="4">
        <v>0</v>
      </c>
      <c r="NU8" s="4">
        <v>0</v>
      </c>
      <c r="NV8" s="4">
        <v>281520</v>
      </c>
      <c r="NW8" s="4">
        <v>16884000</v>
      </c>
      <c r="NX8" s="4">
        <v>82770</v>
      </c>
      <c r="NY8" s="1" t="s">
        <v>465</v>
      </c>
      <c r="NZ8" s="4">
        <v>0</v>
      </c>
      <c r="OA8" s="4">
        <v>0</v>
      </c>
      <c r="OB8" s="4">
        <v>0</v>
      </c>
      <c r="OC8" s="4">
        <v>0</v>
      </c>
      <c r="OD8" s="4">
        <v>0</v>
      </c>
      <c r="OE8" s="4">
        <v>0</v>
      </c>
      <c r="OF8" s="4">
        <v>0</v>
      </c>
      <c r="OG8" s="4">
        <v>0</v>
      </c>
      <c r="OH8" s="4">
        <v>1680</v>
      </c>
      <c r="OI8" s="4">
        <v>0</v>
      </c>
      <c r="OJ8" s="4">
        <v>0</v>
      </c>
      <c r="OK8" s="4">
        <v>39840</v>
      </c>
      <c r="OL8" s="4">
        <v>0</v>
      </c>
      <c r="OM8" s="4">
        <v>0</v>
      </c>
      <c r="ON8" s="4">
        <v>0</v>
      </c>
      <c r="OO8" s="4">
        <v>0</v>
      </c>
      <c r="OP8" s="4">
        <v>0</v>
      </c>
      <c r="OQ8" s="4">
        <v>41520</v>
      </c>
      <c r="OR8" s="4">
        <v>32400</v>
      </c>
      <c r="OS8" s="4">
        <v>11280</v>
      </c>
      <c r="OT8" s="4">
        <v>29280</v>
      </c>
      <c r="OU8" s="4">
        <v>19920</v>
      </c>
      <c r="OV8" s="4">
        <v>0</v>
      </c>
      <c r="OW8" s="4">
        <v>0</v>
      </c>
      <c r="OX8" s="4">
        <v>0</v>
      </c>
      <c r="OY8" s="4">
        <v>0</v>
      </c>
      <c r="OZ8" s="4">
        <v>0</v>
      </c>
      <c r="PA8" s="4">
        <v>0</v>
      </c>
      <c r="PB8" s="4">
        <v>0</v>
      </c>
      <c r="PC8" s="4">
        <v>0</v>
      </c>
      <c r="PD8" s="4">
        <v>89543</v>
      </c>
      <c r="PE8" s="4">
        <v>0</v>
      </c>
      <c r="PF8" s="4">
        <v>0</v>
      </c>
      <c r="PG8" s="4">
        <v>4183017</v>
      </c>
      <c r="PH8" s="4">
        <v>0</v>
      </c>
      <c r="PI8" s="4">
        <v>0</v>
      </c>
      <c r="PJ8" s="4">
        <v>0</v>
      </c>
      <c r="PK8" s="4">
        <v>0</v>
      </c>
      <c r="PL8" s="4">
        <v>0</v>
      </c>
      <c r="PM8" s="4">
        <v>2250384</v>
      </c>
      <c r="PN8" s="4">
        <v>3573285</v>
      </c>
      <c r="PO8" s="4">
        <v>1210192</v>
      </c>
      <c r="PP8" s="4">
        <v>3255936</v>
      </c>
      <c r="PQ8" s="4">
        <v>2322672</v>
      </c>
      <c r="PR8" s="4">
        <v>175920</v>
      </c>
      <c r="PS8" s="4">
        <v>16885031</v>
      </c>
      <c r="PT8" s="4">
        <v>82800</v>
      </c>
      <c r="PU8" s="1" t="s">
        <v>467</v>
      </c>
      <c r="PV8" s="4">
        <v>0</v>
      </c>
      <c r="PW8" s="4">
        <v>0</v>
      </c>
      <c r="PX8" s="4">
        <v>0</v>
      </c>
      <c r="PY8" s="4">
        <v>0</v>
      </c>
      <c r="PZ8" s="4">
        <v>0</v>
      </c>
      <c r="QA8" s="4">
        <v>0</v>
      </c>
      <c r="QB8" s="4">
        <v>0</v>
      </c>
      <c r="QC8" s="4">
        <v>0</v>
      </c>
      <c r="QD8" s="4">
        <v>0</v>
      </c>
      <c r="QE8" s="4">
        <v>0</v>
      </c>
      <c r="QF8" s="4">
        <v>0</v>
      </c>
      <c r="QG8" s="4">
        <v>0</v>
      </c>
      <c r="QH8" s="4">
        <v>0</v>
      </c>
      <c r="QI8" s="4">
        <v>0</v>
      </c>
      <c r="QJ8" s="4">
        <v>157440</v>
      </c>
      <c r="QK8" s="4">
        <v>0</v>
      </c>
      <c r="QL8" s="4">
        <v>0</v>
      </c>
      <c r="QM8" s="4">
        <v>0</v>
      </c>
      <c r="QN8" s="4">
        <v>0</v>
      </c>
      <c r="QO8" s="4">
        <v>0</v>
      </c>
      <c r="QP8" s="4">
        <v>0</v>
      </c>
      <c r="QQ8" s="4">
        <v>0</v>
      </c>
      <c r="QR8" s="4">
        <v>0</v>
      </c>
      <c r="QS8" s="4">
        <v>0</v>
      </c>
      <c r="QT8" s="4">
        <v>0</v>
      </c>
      <c r="QU8" s="4">
        <v>0</v>
      </c>
      <c r="QV8" s="4">
        <v>0</v>
      </c>
      <c r="QW8" s="4">
        <v>0</v>
      </c>
      <c r="QX8" s="4">
        <v>0</v>
      </c>
      <c r="QY8" s="4">
        <v>0</v>
      </c>
      <c r="QZ8" s="4">
        <v>0</v>
      </c>
      <c r="RA8" s="4">
        <v>16891200</v>
      </c>
      <c r="RB8" s="4">
        <v>0</v>
      </c>
      <c r="RC8" s="4">
        <v>0</v>
      </c>
      <c r="RD8" s="4">
        <v>157440</v>
      </c>
      <c r="RE8" s="4">
        <v>16891200</v>
      </c>
      <c r="RF8" s="4">
        <v>82737</v>
      </c>
      <c r="RG8" s="1" t="s">
        <v>502</v>
      </c>
      <c r="RH8" s="4">
        <v>119280</v>
      </c>
      <c r="RI8" s="4">
        <v>0</v>
      </c>
      <c r="RJ8" s="4">
        <v>0</v>
      </c>
      <c r="RK8" s="4">
        <v>0</v>
      </c>
      <c r="RL8" s="4">
        <v>0</v>
      </c>
      <c r="RM8" s="4">
        <v>49920</v>
      </c>
      <c r="RN8" s="4">
        <v>0</v>
      </c>
      <c r="RO8" s="4">
        <v>0</v>
      </c>
      <c r="RP8" s="4">
        <v>23280</v>
      </c>
      <c r="RQ8" s="4">
        <v>15840</v>
      </c>
      <c r="RR8" s="4">
        <v>23040</v>
      </c>
      <c r="RS8" s="4">
        <v>0</v>
      </c>
      <c r="RT8" s="4">
        <v>0</v>
      </c>
      <c r="RU8" s="4">
        <v>0</v>
      </c>
      <c r="RV8" s="4">
        <v>6405336</v>
      </c>
      <c r="RW8" s="4">
        <v>0</v>
      </c>
      <c r="RX8" s="4">
        <v>0</v>
      </c>
      <c r="RY8" s="4">
        <v>0</v>
      </c>
      <c r="RZ8" s="4">
        <v>0</v>
      </c>
      <c r="SA8" s="4">
        <v>5241371</v>
      </c>
      <c r="SB8" s="4">
        <v>0</v>
      </c>
      <c r="SC8" s="4">
        <v>0</v>
      </c>
      <c r="SD8" s="4">
        <v>1832136</v>
      </c>
      <c r="SE8" s="4">
        <v>858528</v>
      </c>
      <c r="SF8" s="4">
        <v>2541002</v>
      </c>
      <c r="SG8" s="4">
        <v>0</v>
      </c>
      <c r="SH8" s="4">
        <v>0</v>
      </c>
      <c r="SI8" s="4">
        <v>0</v>
      </c>
      <c r="SJ8" s="4">
        <v>231360</v>
      </c>
      <c r="SK8" s="4">
        <v>16878374</v>
      </c>
    </row>
    <row x14ac:dyDescent="0.25" r="9" customHeight="1" ht="18">
      <c r="A9" s="1" t="s">
        <v>888</v>
      </c>
      <c r="B9" s="4">
        <v>0</v>
      </c>
      <c r="C9" s="2" t="s">
        <v>112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112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1" t="s">
        <v>112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1" t="s">
        <v>112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1" t="s">
        <v>112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9986</v>
      </c>
      <c r="HI9" s="1" t="s">
        <v>889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4">
        <v>0</v>
      </c>
      <c r="HW9" s="4">
        <v>0</v>
      </c>
      <c r="HX9" s="4">
        <v>0</v>
      </c>
      <c r="HY9" s="4">
        <v>0</v>
      </c>
      <c r="HZ9" s="4">
        <v>0</v>
      </c>
      <c r="IA9" s="4">
        <v>0</v>
      </c>
      <c r="IB9" s="4">
        <v>0</v>
      </c>
      <c r="IC9" s="4">
        <v>0</v>
      </c>
      <c r="ID9" s="4">
        <v>0</v>
      </c>
      <c r="IE9" s="4">
        <v>0</v>
      </c>
      <c r="IF9" s="4">
        <v>0</v>
      </c>
      <c r="IG9" s="4">
        <v>0</v>
      </c>
      <c r="IH9" s="4">
        <v>0</v>
      </c>
      <c r="II9" s="4">
        <v>8880</v>
      </c>
      <c r="IJ9" s="4">
        <v>24480</v>
      </c>
      <c r="IK9" s="4">
        <v>0</v>
      </c>
      <c r="IL9" s="4">
        <v>0</v>
      </c>
      <c r="IM9" s="4">
        <v>0</v>
      </c>
      <c r="IN9" s="4">
        <v>0</v>
      </c>
      <c r="IO9" s="4">
        <v>0</v>
      </c>
      <c r="IP9" s="4">
        <v>0</v>
      </c>
      <c r="IQ9" s="4">
        <v>0</v>
      </c>
      <c r="IR9" s="4">
        <v>0</v>
      </c>
      <c r="IS9" s="4">
        <v>0</v>
      </c>
      <c r="IT9" s="4">
        <v>0</v>
      </c>
      <c r="IU9" s="4">
        <v>0</v>
      </c>
      <c r="IV9" s="4">
        <v>0</v>
      </c>
      <c r="IW9" s="4">
        <v>0</v>
      </c>
      <c r="IX9" s="4">
        <v>0</v>
      </c>
      <c r="IY9" s="4">
        <v>0</v>
      </c>
      <c r="IZ9" s="4">
        <v>0</v>
      </c>
      <c r="JA9" s="4">
        <v>0</v>
      </c>
      <c r="JB9" s="4">
        <v>0</v>
      </c>
      <c r="JC9" s="4">
        <v>0</v>
      </c>
      <c r="JD9" s="4">
        <v>0</v>
      </c>
      <c r="JE9" s="4">
        <v>0</v>
      </c>
      <c r="JF9" s="4">
        <v>0</v>
      </c>
      <c r="JG9" s="4">
        <v>0</v>
      </c>
      <c r="JH9" s="4">
        <v>0</v>
      </c>
      <c r="JI9" s="4">
        <v>0</v>
      </c>
      <c r="JJ9" s="4">
        <v>0</v>
      </c>
      <c r="JK9" s="4">
        <v>0</v>
      </c>
      <c r="JL9" s="4">
        <v>0</v>
      </c>
      <c r="JM9" s="4">
        <v>0</v>
      </c>
      <c r="JN9" s="4">
        <v>0</v>
      </c>
      <c r="JO9" s="4">
        <v>710400</v>
      </c>
      <c r="JP9" s="4">
        <v>1326816</v>
      </c>
      <c r="JQ9" s="4">
        <v>0</v>
      </c>
      <c r="JR9" s="4">
        <v>0</v>
      </c>
      <c r="JS9" s="4">
        <v>0</v>
      </c>
      <c r="JT9" s="4">
        <v>0</v>
      </c>
      <c r="JU9" s="4">
        <v>0</v>
      </c>
      <c r="JV9" s="4">
        <v>33360</v>
      </c>
      <c r="JW9" s="4">
        <v>2037216</v>
      </c>
      <c r="JX9" s="4">
        <v>60594</v>
      </c>
      <c r="JY9" s="1" t="s">
        <v>890</v>
      </c>
      <c r="JZ9" s="4">
        <v>0</v>
      </c>
      <c r="KA9" s="4">
        <v>0</v>
      </c>
      <c r="KB9" s="4">
        <v>0</v>
      </c>
      <c r="KC9" s="4">
        <v>0</v>
      </c>
      <c r="KD9" s="4">
        <v>0</v>
      </c>
      <c r="KE9" s="4">
        <v>0</v>
      </c>
      <c r="KF9" s="4">
        <v>0</v>
      </c>
      <c r="KG9" s="4">
        <v>0</v>
      </c>
      <c r="KH9" s="4">
        <v>0</v>
      </c>
      <c r="KI9" s="4">
        <v>0</v>
      </c>
      <c r="KJ9" s="4">
        <v>0</v>
      </c>
      <c r="KK9" s="4">
        <v>0</v>
      </c>
      <c r="KL9" s="4">
        <v>0</v>
      </c>
      <c r="KM9" s="4">
        <v>0</v>
      </c>
      <c r="KN9" s="4">
        <v>0</v>
      </c>
      <c r="KO9" s="4">
        <v>0</v>
      </c>
      <c r="KP9" s="4">
        <v>0</v>
      </c>
      <c r="KQ9" s="4">
        <v>0</v>
      </c>
      <c r="KR9" s="4">
        <v>95280</v>
      </c>
      <c r="KS9" s="4">
        <v>53280</v>
      </c>
      <c r="KT9" s="4">
        <v>23520</v>
      </c>
      <c r="KU9" s="4">
        <v>0</v>
      </c>
      <c r="KV9" s="4">
        <v>0</v>
      </c>
      <c r="KW9" s="4">
        <v>0</v>
      </c>
      <c r="KX9" s="4">
        <v>0</v>
      </c>
      <c r="KY9" s="4">
        <v>0</v>
      </c>
      <c r="KZ9" s="4">
        <v>0</v>
      </c>
      <c r="LA9" s="4">
        <v>0</v>
      </c>
      <c r="LB9" s="4">
        <v>0</v>
      </c>
      <c r="LC9" s="4">
        <v>0</v>
      </c>
      <c r="LD9" s="4">
        <v>0</v>
      </c>
      <c r="LE9" s="4">
        <v>0</v>
      </c>
      <c r="LF9" s="4">
        <v>0</v>
      </c>
      <c r="LG9" s="4">
        <v>0</v>
      </c>
      <c r="LH9" s="4">
        <v>0</v>
      </c>
      <c r="LI9" s="4">
        <v>0</v>
      </c>
      <c r="LJ9" s="4">
        <v>0</v>
      </c>
      <c r="LK9" s="4">
        <v>0</v>
      </c>
      <c r="LL9" s="4">
        <v>0</v>
      </c>
      <c r="LM9" s="4">
        <v>0</v>
      </c>
      <c r="LN9" s="4">
        <v>0</v>
      </c>
      <c r="LO9" s="4">
        <v>0</v>
      </c>
      <c r="LP9" s="4">
        <v>0</v>
      </c>
      <c r="LQ9" s="4">
        <v>7622400</v>
      </c>
      <c r="LR9" s="4">
        <v>2887776</v>
      </c>
      <c r="LS9" s="4">
        <v>1851024</v>
      </c>
      <c r="LT9" s="4">
        <v>0</v>
      </c>
      <c r="LU9" s="4">
        <v>0</v>
      </c>
      <c r="LV9" s="4">
        <v>0</v>
      </c>
      <c r="LW9" s="4">
        <v>0</v>
      </c>
      <c r="LX9" s="4">
        <v>172080</v>
      </c>
      <c r="LY9" s="4">
        <v>12361200</v>
      </c>
      <c r="LZ9" s="4">
        <v>38596</v>
      </c>
      <c r="MA9" s="1" t="s">
        <v>891</v>
      </c>
      <c r="MB9" s="4">
        <v>0</v>
      </c>
      <c r="MC9" s="4">
        <v>0</v>
      </c>
      <c r="MD9" s="4">
        <v>0</v>
      </c>
      <c r="ME9" s="4">
        <v>0</v>
      </c>
      <c r="MF9" s="4">
        <v>0</v>
      </c>
      <c r="MG9" s="4">
        <v>0</v>
      </c>
      <c r="MH9" s="4">
        <v>0</v>
      </c>
      <c r="MI9" s="4">
        <v>0</v>
      </c>
      <c r="MJ9" s="4">
        <v>0</v>
      </c>
      <c r="MK9" s="4">
        <v>0</v>
      </c>
      <c r="ML9" s="4">
        <v>0</v>
      </c>
      <c r="MM9" s="4">
        <v>0</v>
      </c>
      <c r="MN9" s="4">
        <v>0</v>
      </c>
      <c r="MO9" s="4">
        <v>0</v>
      </c>
      <c r="MP9" s="4">
        <v>0</v>
      </c>
      <c r="MQ9" s="4">
        <v>62160</v>
      </c>
      <c r="MR9" s="4">
        <v>53520</v>
      </c>
      <c r="MS9" s="4">
        <v>0</v>
      </c>
      <c r="MT9" s="4">
        <v>0</v>
      </c>
      <c r="MU9" s="4">
        <v>0</v>
      </c>
      <c r="MV9" s="4">
        <v>0</v>
      </c>
      <c r="MW9" s="4">
        <v>0</v>
      </c>
      <c r="MX9" s="4">
        <v>0</v>
      </c>
      <c r="MY9" s="4">
        <v>0</v>
      </c>
      <c r="MZ9" s="4">
        <v>0</v>
      </c>
      <c r="NA9" s="4">
        <v>0</v>
      </c>
      <c r="NB9" s="4">
        <v>0</v>
      </c>
      <c r="NC9" s="4">
        <v>0</v>
      </c>
      <c r="ND9" s="4">
        <v>0</v>
      </c>
      <c r="NE9" s="4">
        <v>0</v>
      </c>
      <c r="NF9" s="4">
        <v>0</v>
      </c>
      <c r="NG9" s="4">
        <v>0</v>
      </c>
      <c r="NH9" s="4">
        <v>0</v>
      </c>
      <c r="NI9" s="4">
        <v>0</v>
      </c>
      <c r="NJ9" s="4">
        <v>0</v>
      </c>
      <c r="NK9" s="4">
        <v>0</v>
      </c>
      <c r="NL9" s="4">
        <v>0</v>
      </c>
      <c r="NM9" s="4">
        <v>0</v>
      </c>
      <c r="NN9" s="4">
        <v>4972800</v>
      </c>
      <c r="NO9" s="4">
        <v>2900784</v>
      </c>
      <c r="NP9" s="4">
        <v>0</v>
      </c>
      <c r="NQ9" s="4">
        <v>0</v>
      </c>
      <c r="NR9" s="4">
        <v>0</v>
      </c>
      <c r="NS9" s="4">
        <v>0</v>
      </c>
      <c r="NT9" s="4">
        <v>0</v>
      </c>
      <c r="NU9" s="4">
        <v>0</v>
      </c>
      <c r="NV9" s="4">
        <v>115680</v>
      </c>
      <c r="NW9" s="4">
        <v>7873584</v>
      </c>
      <c r="NX9" s="4">
        <v>82749</v>
      </c>
      <c r="NY9" s="1" t="s">
        <v>783</v>
      </c>
      <c r="NZ9" s="4">
        <v>142560</v>
      </c>
      <c r="OA9" s="4">
        <v>0</v>
      </c>
      <c r="OB9" s="4">
        <v>0</v>
      </c>
      <c r="OC9" s="4">
        <v>0</v>
      </c>
      <c r="OD9" s="4">
        <v>0</v>
      </c>
      <c r="OE9" s="4">
        <v>0</v>
      </c>
      <c r="OF9" s="4">
        <v>0</v>
      </c>
      <c r="OG9" s="4">
        <v>0</v>
      </c>
      <c r="OH9" s="4">
        <v>0</v>
      </c>
      <c r="OI9" s="4">
        <v>0</v>
      </c>
      <c r="OJ9" s="4">
        <v>0</v>
      </c>
      <c r="OK9" s="4">
        <v>0</v>
      </c>
      <c r="OL9" s="4">
        <v>0</v>
      </c>
      <c r="OM9" s="4">
        <v>0</v>
      </c>
      <c r="ON9" s="4">
        <v>4320</v>
      </c>
      <c r="OO9" s="4">
        <v>0</v>
      </c>
      <c r="OP9" s="4">
        <v>34320</v>
      </c>
      <c r="OQ9" s="4">
        <v>114000</v>
      </c>
      <c r="OR9" s="4">
        <v>0</v>
      </c>
      <c r="OS9" s="4">
        <v>0</v>
      </c>
      <c r="OT9" s="4">
        <v>0</v>
      </c>
      <c r="OU9" s="4">
        <v>0</v>
      </c>
      <c r="OV9" s="4">
        <v>7655472</v>
      </c>
      <c r="OW9" s="4">
        <v>0</v>
      </c>
      <c r="OX9" s="4">
        <v>0</v>
      </c>
      <c r="OY9" s="4">
        <v>0</v>
      </c>
      <c r="OZ9" s="4">
        <v>0</v>
      </c>
      <c r="PA9" s="4">
        <v>0</v>
      </c>
      <c r="PB9" s="4">
        <v>0</v>
      </c>
      <c r="PC9" s="4">
        <v>0</v>
      </c>
      <c r="PD9" s="4">
        <v>0</v>
      </c>
      <c r="PE9" s="4">
        <v>0</v>
      </c>
      <c r="PF9" s="4">
        <v>0</v>
      </c>
      <c r="PG9" s="4">
        <v>0</v>
      </c>
      <c r="PH9" s="4">
        <v>0</v>
      </c>
      <c r="PI9" s="4">
        <v>0</v>
      </c>
      <c r="PJ9" s="4">
        <v>345600</v>
      </c>
      <c r="PK9" s="4">
        <v>0</v>
      </c>
      <c r="PL9" s="4">
        <v>2700984</v>
      </c>
      <c r="PM9" s="4">
        <v>6178800</v>
      </c>
      <c r="PN9" s="4">
        <v>0</v>
      </c>
      <c r="PO9" s="4">
        <v>0</v>
      </c>
      <c r="PP9" s="4">
        <v>0</v>
      </c>
      <c r="PQ9" s="4">
        <v>0</v>
      </c>
      <c r="PR9" s="4">
        <v>295200</v>
      </c>
      <c r="PS9" s="4">
        <v>16880856</v>
      </c>
      <c r="PT9" s="4">
        <v>82765</v>
      </c>
      <c r="PU9" s="1" t="s">
        <v>465</v>
      </c>
      <c r="PV9" s="4">
        <v>6000</v>
      </c>
      <c r="PW9" s="4">
        <v>0</v>
      </c>
      <c r="PX9" s="4">
        <v>0</v>
      </c>
      <c r="PY9" s="4">
        <v>0</v>
      </c>
      <c r="PZ9" s="4">
        <v>0</v>
      </c>
      <c r="QA9" s="4">
        <v>0</v>
      </c>
      <c r="QB9" s="4">
        <v>0</v>
      </c>
      <c r="QC9" s="4">
        <v>0</v>
      </c>
      <c r="QD9" s="4">
        <v>67920</v>
      </c>
      <c r="QE9" s="4">
        <v>0</v>
      </c>
      <c r="QF9" s="4">
        <v>0</v>
      </c>
      <c r="QG9" s="4">
        <v>0</v>
      </c>
      <c r="QH9" s="4">
        <v>44640</v>
      </c>
      <c r="QI9" s="4">
        <v>54000</v>
      </c>
      <c r="QJ9" s="4">
        <v>9840</v>
      </c>
      <c r="QK9" s="4">
        <v>0</v>
      </c>
      <c r="QL9" s="4">
        <v>0</v>
      </c>
      <c r="QM9" s="4">
        <v>322200</v>
      </c>
      <c r="QN9" s="4">
        <v>0</v>
      </c>
      <c r="QO9" s="4">
        <v>0</v>
      </c>
      <c r="QP9" s="4">
        <v>0</v>
      </c>
      <c r="QQ9" s="4">
        <v>0</v>
      </c>
      <c r="QR9" s="4">
        <v>0</v>
      </c>
      <c r="QS9" s="4">
        <v>0</v>
      </c>
      <c r="QT9" s="4">
        <v>0</v>
      </c>
      <c r="QU9" s="4">
        <v>7131289</v>
      </c>
      <c r="QV9" s="4">
        <v>0</v>
      </c>
      <c r="QW9" s="4">
        <v>0</v>
      </c>
      <c r="QX9" s="4">
        <v>0</v>
      </c>
      <c r="QY9" s="4">
        <v>2419488</v>
      </c>
      <c r="QZ9" s="4">
        <v>5955475</v>
      </c>
      <c r="RA9" s="4">
        <v>1055700</v>
      </c>
      <c r="RB9" s="4">
        <v>0</v>
      </c>
      <c r="RC9" s="4">
        <v>0</v>
      </c>
      <c r="RD9" s="4">
        <v>182400</v>
      </c>
      <c r="RE9" s="4">
        <v>16884152</v>
      </c>
      <c r="RF9" s="4">
        <v>55843</v>
      </c>
      <c r="RG9" s="1" t="s">
        <v>892</v>
      </c>
      <c r="RH9" s="4">
        <v>0</v>
      </c>
      <c r="RI9" s="4">
        <v>0</v>
      </c>
      <c r="RJ9" s="4">
        <v>0</v>
      </c>
      <c r="RK9" s="4">
        <v>0</v>
      </c>
      <c r="RL9" s="4">
        <v>0</v>
      </c>
      <c r="RM9" s="4">
        <v>0</v>
      </c>
      <c r="RN9" s="4">
        <v>95280</v>
      </c>
      <c r="RO9" s="4">
        <v>53520</v>
      </c>
      <c r="RP9" s="4">
        <v>11040</v>
      </c>
      <c r="RQ9" s="4">
        <v>0</v>
      </c>
      <c r="RR9" s="4">
        <v>0</v>
      </c>
      <c r="RS9" s="4">
        <v>0</v>
      </c>
      <c r="RT9" s="4">
        <v>0</v>
      </c>
      <c r="RU9" s="4">
        <v>0</v>
      </c>
      <c r="RV9" s="4">
        <v>0</v>
      </c>
      <c r="RW9" s="4">
        <v>0</v>
      </c>
      <c r="RX9" s="4">
        <v>0</v>
      </c>
      <c r="RY9" s="4">
        <v>0</v>
      </c>
      <c r="RZ9" s="4">
        <v>0</v>
      </c>
      <c r="SA9" s="4">
        <v>0</v>
      </c>
      <c r="SB9" s="4">
        <v>7622400</v>
      </c>
      <c r="SC9" s="4">
        <v>2900784</v>
      </c>
      <c r="SD9" s="4">
        <v>868848</v>
      </c>
      <c r="SE9" s="4">
        <v>0</v>
      </c>
      <c r="SF9" s="4">
        <v>0</v>
      </c>
      <c r="SG9" s="4">
        <v>0</v>
      </c>
      <c r="SH9" s="4">
        <v>0</v>
      </c>
      <c r="SI9" s="4">
        <v>0</v>
      </c>
      <c r="SJ9" s="4">
        <v>159840</v>
      </c>
      <c r="SK9" s="4">
        <v>11392032</v>
      </c>
    </row>
    <row x14ac:dyDescent="0.25" r="10" customHeight="1" ht="18">
      <c r="A10" s="1" t="s">
        <v>893</v>
      </c>
      <c r="B10" s="4">
        <v>0</v>
      </c>
      <c r="C10" s="2" t="s">
        <v>112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 t="s">
        <v>112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1" t="s">
        <v>112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1" t="s">
        <v>112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1" t="s">
        <v>112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1" t="s">
        <v>112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0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1" t="s">
        <v>112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1" t="s">
        <v>112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49890</v>
      </c>
      <c r="NY10" s="1" t="s">
        <v>894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90960</v>
      </c>
      <c r="OO10" s="4">
        <v>53520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7276800</v>
      </c>
      <c r="PK10" s="4">
        <v>2900784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144480</v>
      </c>
      <c r="PS10" s="4">
        <v>10177584</v>
      </c>
      <c r="PT10" s="4">
        <v>82777</v>
      </c>
      <c r="PU10" s="1" t="s">
        <v>308</v>
      </c>
      <c r="PV10" s="4">
        <v>147360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78240</v>
      </c>
      <c r="QF10" s="4">
        <v>240</v>
      </c>
      <c r="QG10" s="4">
        <v>34320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7913232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6259200</v>
      </c>
      <c r="QW10" s="4">
        <v>13008</v>
      </c>
      <c r="QX10" s="4">
        <v>2700984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260160</v>
      </c>
      <c r="RE10" s="4">
        <v>16886424</v>
      </c>
      <c r="RF10" s="4">
        <v>0</v>
      </c>
      <c r="RG10" s="1" t="s">
        <v>112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</row>
    <row x14ac:dyDescent="0.25" r="11" customHeight="1" ht="18">
      <c r="A11" s="1" t="s">
        <v>895</v>
      </c>
      <c r="B11" s="4">
        <v>0</v>
      </c>
      <c r="C11" s="2" t="s">
        <v>112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 t="s">
        <v>112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1" t="s">
        <v>112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1" t="s">
        <v>112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1" t="s">
        <v>112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1" t="s">
        <v>112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1" t="s">
        <v>112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1" t="s">
        <v>112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1" t="s">
        <v>112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20838</v>
      </c>
      <c r="PU11" s="1" t="s">
        <v>896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17040</v>
      </c>
      <c r="QF11" s="4">
        <v>53280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1363200</v>
      </c>
      <c r="QW11" s="4">
        <v>2887776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70320</v>
      </c>
      <c r="RE11" s="4">
        <v>4250976</v>
      </c>
      <c r="RF11" s="4">
        <v>0</v>
      </c>
      <c r="RG11" s="1" t="s">
        <v>112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</row>
    <row x14ac:dyDescent="0.25" r="12" customHeight="1" ht="18">
      <c r="A12" s="1" t="s">
        <v>897</v>
      </c>
      <c r="B12" s="4">
        <v>0</v>
      </c>
      <c r="C12" s="2" t="s">
        <v>112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 t="s">
        <v>112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1" t="s">
        <v>112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1" t="s">
        <v>112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1" t="s">
        <v>112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1" t="s">
        <v>112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1" t="s">
        <v>112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1" t="s">
        <v>112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1" t="s">
        <v>112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1" t="s">
        <v>112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1" t="s">
        <v>112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</row>
    <row x14ac:dyDescent="0.25" r="13" customHeight="1" ht="18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3"/>
      <c r="Z13" s="3"/>
      <c r="AA13" s="3"/>
      <c r="AB13" s="3"/>
      <c r="AC13" s="1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1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1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1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1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1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1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1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1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1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</row>
    <row x14ac:dyDescent="0.25" r="14" customHeight="1" ht="18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3"/>
      <c r="Z14" s="3"/>
      <c r="AA14" s="3"/>
      <c r="AB14" s="3"/>
      <c r="AC14" s="1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1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1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1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1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1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1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1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1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E14" s="3"/>
      <c r="RF14" s="3"/>
      <c r="RG14" s="1"/>
      <c r="RH14" s="3"/>
      <c r="RI14" s="3"/>
      <c r="RJ14" s="3"/>
      <c r="RK14" s="3"/>
      <c r="RL14" s="3"/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3"/>
      <c r="SG14" s="3"/>
      <c r="SH14" s="3"/>
      <c r="SI14" s="3"/>
      <c r="SJ14" s="3"/>
      <c r="SK14" s="3"/>
    </row>
    <row x14ac:dyDescent="0.25" r="15" customHeight="1" ht="18">
      <c r="A15" s="1" t="s">
        <v>130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3"/>
      <c r="Z15" s="3"/>
      <c r="AA15" s="3"/>
      <c r="AB15" s="3"/>
      <c r="AC15" s="1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1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1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1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1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1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1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3"/>
      <c r="NT15" s="3"/>
      <c r="NU15" s="3"/>
      <c r="NV15" s="3"/>
      <c r="NW15" s="3"/>
      <c r="NX15" s="3"/>
      <c r="NY15" s="1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3"/>
      <c r="PB15" s="3"/>
      <c r="PC15" s="3"/>
      <c r="PD15" s="3"/>
      <c r="PE15" s="3"/>
      <c r="PF15" s="3"/>
      <c r="PG15" s="3"/>
      <c r="PH15" s="3"/>
      <c r="PI15" s="3"/>
      <c r="PJ15" s="3"/>
      <c r="PK15" s="3"/>
      <c r="PL15" s="3"/>
      <c r="PM15" s="3"/>
      <c r="PN15" s="3"/>
      <c r="PO15" s="3"/>
      <c r="PP15" s="3"/>
      <c r="PQ15" s="3"/>
      <c r="PR15" s="3"/>
      <c r="PS15" s="3"/>
      <c r="PT15" s="3"/>
      <c r="PU15" s="1"/>
      <c r="PV15" s="3"/>
      <c r="PW15" s="3"/>
      <c r="PX15" s="3"/>
      <c r="PY15" s="3"/>
      <c r="PZ15" s="3"/>
      <c r="QA15" s="3"/>
      <c r="QB15" s="3"/>
      <c r="QC15" s="3"/>
      <c r="QD15" s="3"/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3"/>
      <c r="QQ15" s="3"/>
      <c r="QR15" s="3"/>
      <c r="QS15" s="3"/>
      <c r="QT15" s="3"/>
      <c r="QU15" s="3"/>
      <c r="QV15" s="3"/>
      <c r="QW15" s="3"/>
      <c r="QX15" s="3"/>
      <c r="QY15" s="3"/>
      <c r="QZ15" s="3"/>
      <c r="RA15" s="3"/>
      <c r="RB15" s="3"/>
      <c r="RC15" s="3"/>
      <c r="RD15" s="3"/>
      <c r="RE15" s="3"/>
      <c r="RF15" s="3"/>
      <c r="RG15" s="1"/>
      <c r="RH15" s="3"/>
      <c r="RI15" s="3"/>
      <c r="RJ15" s="3"/>
      <c r="RK15" s="3"/>
      <c r="RL15" s="3"/>
      <c r="RM15" s="3"/>
      <c r="RN15" s="3"/>
      <c r="RO15" s="3"/>
      <c r="RP15" s="3"/>
      <c r="RQ15" s="3"/>
      <c r="RR15" s="3"/>
      <c r="RS15" s="3"/>
      <c r="RT15" s="3"/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3"/>
      <c r="SG15" s="3"/>
      <c r="SH15" s="3"/>
      <c r="SI15" s="3"/>
      <c r="SJ15" s="3"/>
      <c r="SK15" s="3"/>
    </row>
    <row x14ac:dyDescent="0.25" r="16" customHeight="1" ht="18">
      <c r="A16" s="1" t="s">
        <v>0</v>
      </c>
      <c r="B16" s="2" t="s">
        <v>5</v>
      </c>
      <c r="C16" s="2" t="s">
        <v>11</v>
      </c>
      <c r="D16" s="2" t="s">
        <v>17</v>
      </c>
      <c r="E16" s="2" t="s">
        <v>27</v>
      </c>
      <c r="F16" s="2" t="s">
        <v>37</v>
      </c>
      <c r="G16" s="2" t="s">
        <v>47</v>
      </c>
      <c r="H16" s="2" t="s">
        <v>57</v>
      </c>
      <c r="I16" s="2" t="s">
        <v>67</v>
      </c>
      <c r="J16" s="2" t="s">
        <v>77</v>
      </c>
      <c r="K16" s="2" t="s">
        <v>87</v>
      </c>
      <c r="L16" s="2" t="s">
        <v>97</v>
      </c>
      <c r="M16" s="2" t="s">
        <v>6</v>
      </c>
      <c r="N16" s="2" t="s">
        <v>12</v>
      </c>
      <c r="O16" s="2" t="s">
        <v>18</v>
      </c>
      <c r="P16" s="2" t="s">
        <v>28</v>
      </c>
      <c r="Q16" s="2" t="s">
        <v>38</v>
      </c>
      <c r="R16" s="2" t="s">
        <v>48</v>
      </c>
      <c r="S16" s="2" t="s">
        <v>58</v>
      </c>
      <c r="T16" s="2" t="s">
        <v>68</v>
      </c>
      <c r="U16" s="2" t="s">
        <v>78</v>
      </c>
      <c r="V16" s="2" t="s">
        <v>88</v>
      </c>
      <c r="W16" s="2" t="s">
        <v>98</v>
      </c>
      <c r="X16" s="3" t="s">
        <v>2</v>
      </c>
      <c r="Y16" s="3" t="s">
        <v>8</v>
      </c>
      <c r="Z16" s="3" t="s">
        <v>14</v>
      </c>
      <c r="AA16" s="3" t="s">
        <v>20</v>
      </c>
      <c r="AB16" s="3" t="s">
        <v>30</v>
      </c>
      <c r="AC16" s="1" t="s">
        <v>40</v>
      </c>
      <c r="AD16" s="3" t="s">
        <v>50</v>
      </c>
      <c r="AE16" s="3" t="s">
        <v>60</v>
      </c>
      <c r="AF16" s="3" t="s">
        <v>70</v>
      </c>
      <c r="AG16" s="3" t="s">
        <v>80</v>
      </c>
      <c r="AH16" s="3" t="s">
        <v>90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1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1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1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1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1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1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1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1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1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</row>
    <row x14ac:dyDescent="0.25" r="17" customHeight="1" ht="18">
      <c r="A17" s="1" t="s">
        <v>871</v>
      </c>
      <c r="B17" s="4">
        <v>91200</v>
      </c>
      <c r="C17" s="4">
        <v>115200</v>
      </c>
      <c r="D17" s="4">
        <v>64800</v>
      </c>
      <c r="E17" s="4">
        <v>184800</v>
      </c>
      <c r="F17" s="4">
        <v>178320</v>
      </c>
      <c r="G17" s="4">
        <v>178080</v>
      </c>
      <c r="H17" s="4">
        <v>180000</v>
      </c>
      <c r="I17" s="4">
        <v>184800</v>
      </c>
      <c r="J17" s="4">
        <v>185280</v>
      </c>
      <c r="K17" s="4">
        <v>150000</v>
      </c>
      <c r="L17" s="4">
        <v>150000</v>
      </c>
      <c r="M17" s="4">
        <v>8965711</v>
      </c>
      <c r="N17" s="4">
        <v>11369630</v>
      </c>
      <c r="O17" s="4">
        <v>6376293</v>
      </c>
      <c r="P17" s="4">
        <v>15513270</v>
      </c>
      <c r="Q17" s="4">
        <v>15473519</v>
      </c>
      <c r="R17" s="4">
        <v>15468538</v>
      </c>
      <c r="S17" s="4">
        <v>15493948</v>
      </c>
      <c r="T17" s="4">
        <v>15536176</v>
      </c>
      <c r="U17" s="4">
        <v>15545548</v>
      </c>
      <c r="V17" s="4">
        <v>16634736</v>
      </c>
      <c r="W17" s="4">
        <v>16599564</v>
      </c>
      <c r="X17" s="3" t="s">
        <v>872</v>
      </c>
      <c r="Y17" s="3" t="s">
        <v>873</v>
      </c>
      <c r="Z17" s="3" t="s">
        <v>874</v>
      </c>
      <c r="AA17" s="3" t="s">
        <v>109</v>
      </c>
      <c r="AB17" s="3" t="s">
        <v>109</v>
      </c>
      <c r="AC17" s="1" t="s">
        <v>467</v>
      </c>
      <c r="AD17" s="3" t="s">
        <v>467</v>
      </c>
      <c r="AE17" s="3" t="s">
        <v>485</v>
      </c>
      <c r="AF17" s="3" t="s">
        <v>783</v>
      </c>
      <c r="AG17" s="3" t="s">
        <v>465</v>
      </c>
      <c r="AH17" s="3" t="s">
        <v>467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1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1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1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1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1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1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1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1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1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</row>
    <row x14ac:dyDescent="0.25" r="18" customHeight="1" ht="18">
      <c r="A18" s="1" t="s">
        <v>875</v>
      </c>
      <c r="B18" s="4">
        <v>422400</v>
      </c>
      <c r="C18" s="4">
        <v>425760</v>
      </c>
      <c r="D18" s="4">
        <v>209520</v>
      </c>
      <c r="E18" s="4">
        <v>426240</v>
      </c>
      <c r="F18" s="4">
        <v>504240</v>
      </c>
      <c r="G18" s="4">
        <v>480720</v>
      </c>
      <c r="H18" s="4">
        <v>722160</v>
      </c>
      <c r="I18" s="4">
        <v>588240</v>
      </c>
      <c r="J18" s="4">
        <v>570240</v>
      </c>
      <c r="K18" s="4">
        <v>584160</v>
      </c>
      <c r="L18" s="4">
        <v>165120</v>
      </c>
      <c r="M18" s="4">
        <v>16888704</v>
      </c>
      <c r="N18" s="4">
        <v>16890168</v>
      </c>
      <c r="O18" s="4">
        <v>4684848</v>
      </c>
      <c r="P18" s="4">
        <v>16890075</v>
      </c>
      <c r="Q18" s="4">
        <v>16890315</v>
      </c>
      <c r="R18" s="4">
        <v>16890651</v>
      </c>
      <c r="S18" s="4">
        <v>16888776</v>
      </c>
      <c r="T18" s="4">
        <v>16885771</v>
      </c>
      <c r="U18" s="4">
        <v>16890465</v>
      </c>
      <c r="V18" s="4">
        <v>16891104</v>
      </c>
      <c r="W18" s="4">
        <v>16890456</v>
      </c>
      <c r="X18" s="3" t="s">
        <v>109</v>
      </c>
      <c r="Y18" s="3" t="s">
        <v>109</v>
      </c>
      <c r="Z18" s="3" t="s">
        <v>876</v>
      </c>
      <c r="AA18" s="3" t="s">
        <v>109</v>
      </c>
      <c r="AB18" s="3" t="s">
        <v>109</v>
      </c>
      <c r="AC18" s="1" t="s">
        <v>467</v>
      </c>
      <c r="AD18" s="3" t="s">
        <v>109</v>
      </c>
      <c r="AE18" s="3" t="s">
        <v>308</v>
      </c>
      <c r="AF18" s="3" t="s">
        <v>467</v>
      </c>
      <c r="AG18" s="3" t="s">
        <v>467</v>
      </c>
      <c r="AH18" s="3" t="s">
        <v>467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1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1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1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1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1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1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1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1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1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</row>
    <row x14ac:dyDescent="0.25" r="19" customHeight="1" ht="18">
      <c r="A19" s="1" t="s">
        <v>877</v>
      </c>
      <c r="B19" s="4">
        <v>552960</v>
      </c>
      <c r="C19" s="4">
        <v>821040</v>
      </c>
      <c r="D19" s="4">
        <v>157440</v>
      </c>
      <c r="E19" s="4">
        <v>755760</v>
      </c>
      <c r="F19" s="4">
        <v>654000</v>
      </c>
      <c r="G19" s="4">
        <v>666720</v>
      </c>
      <c r="H19" s="4">
        <v>413520</v>
      </c>
      <c r="I19" s="4">
        <v>375120</v>
      </c>
      <c r="J19" s="4">
        <v>374640</v>
      </c>
      <c r="K19" s="4">
        <v>402480</v>
      </c>
      <c r="L19" s="4">
        <v>383760</v>
      </c>
      <c r="M19" s="4">
        <v>16884288</v>
      </c>
      <c r="N19" s="4">
        <v>16882728</v>
      </c>
      <c r="O19" s="4">
        <v>6297600</v>
      </c>
      <c r="P19" s="4">
        <v>16890404</v>
      </c>
      <c r="Q19" s="4">
        <v>16891011</v>
      </c>
      <c r="R19" s="4">
        <v>16890860</v>
      </c>
      <c r="S19" s="4">
        <v>16888329</v>
      </c>
      <c r="T19" s="4">
        <v>16879416</v>
      </c>
      <c r="U19" s="4">
        <v>16882368</v>
      </c>
      <c r="V19" s="4">
        <v>16879632</v>
      </c>
      <c r="W19" s="4">
        <v>16880592</v>
      </c>
      <c r="X19" s="3" t="s">
        <v>465</v>
      </c>
      <c r="Y19" s="3" t="s">
        <v>485</v>
      </c>
      <c r="Z19" s="3" t="s">
        <v>878</v>
      </c>
      <c r="AA19" s="3" t="s">
        <v>467</v>
      </c>
      <c r="AB19" s="3" t="s">
        <v>467</v>
      </c>
      <c r="AC19" s="1" t="s">
        <v>467</v>
      </c>
      <c r="AD19" s="3" t="s">
        <v>466</v>
      </c>
      <c r="AE19" s="3" t="s">
        <v>714</v>
      </c>
      <c r="AF19" s="3" t="s">
        <v>485</v>
      </c>
      <c r="AG19" s="3" t="s">
        <v>714</v>
      </c>
      <c r="AH19" s="3" t="s">
        <v>783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1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1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1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1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1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1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1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1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1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</row>
    <row x14ac:dyDescent="0.25" r="20" customHeight="1" ht="18">
      <c r="A20" s="1" t="s">
        <v>879</v>
      </c>
      <c r="B20" s="4">
        <v>422160</v>
      </c>
      <c r="C20" s="4">
        <v>422160</v>
      </c>
      <c r="D20" s="4">
        <v>78240</v>
      </c>
      <c r="E20" s="4">
        <v>377760</v>
      </c>
      <c r="F20" s="4">
        <v>373200</v>
      </c>
      <c r="G20" s="4">
        <v>355680</v>
      </c>
      <c r="H20" s="4">
        <v>324480</v>
      </c>
      <c r="I20" s="4">
        <v>288240</v>
      </c>
      <c r="J20" s="4">
        <v>287040</v>
      </c>
      <c r="K20" s="4">
        <v>282000</v>
      </c>
      <c r="L20" s="4">
        <v>222240</v>
      </c>
      <c r="M20" s="4">
        <v>16886400</v>
      </c>
      <c r="N20" s="4">
        <v>16886400</v>
      </c>
      <c r="O20" s="4">
        <v>4115298</v>
      </c>
      <c r="P20" s="4">
        <v>16889971</v>
      </c>
      <c r="Q20" s="4">
        <v>16890969</v>
      </c>
      <c r="R20" s="4">
        <v>16890050</v>
      </c>
      <c r="S20" s="4">
        <v>16881444</v>
      </c>
      <c r="T20" s="4">
        <v>16885802</v>
      </c>
      <c r="U20" s="4">
        <v>16887205</v>
      </c>
      <c r="V20" s="4">
        <v>16888921</v>
      </c>
      <c r="W20" s="4">
        <v>16888525</v>
      </c>
      <c r="X20" s="3" t="s">
        <v>308</v>
      </c>
      <c r="Y20" s="3" t="s">
        <v>308</v>
      </c>
      <c r="Z20" s="3" t="s">
        <v>880</v>
      </c>
      <c r="AA20" s="3" t="s">
        <v>109</v>
      </c>
      <c r="AB20" s="3" t="s">
        <v>467</v>
      </c>
      <c r="AC20" s="1" t="s">
        <v>109</v>
      </c>
      <c r="AD20" s="3" t="s">
        <v>783</v>
      </c>
      <c r="AE20" s="3" t="s">
        <v>308</v>
      </c>
      <c r="AF20" s="3" t="s">
        <v>466</v>
      </c>
      <c r="AG20" s="3" t="s">
        <v>109</v>
      </c>
      <c r="AH20" s="3" t="s">
        <v>466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1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1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1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1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1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1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1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1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1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</row>
    <row x14ac:dyDescent="0.25" r="21" customHeight="1" ht="18">
      <c r="A21" s="1" t="s">
        <v>881</v>
      </c>
      <c r="B21" s="4">
        <v>360480</v>
      </c>
      <c r="C21" s="4">
        <v>393360</v>
      </c>
      <c r="D21" s="4">
        <v>0</v>
      </c>
      <c r="E21" s="4">
        <v>218160</v>
      </c>
      <c r="F21" s="4">
        <v>167280</v>
      </c>
      <c r="G21" s="4">
        <v>157440</v>
      </c>
      <c r="H21" s="4">
        <v>157440</v>
      </c>
      <c r="I21" s="4">
        <v>157440</v>
      </c>
      <c r="J21" s="4">
        <v>157440</v>
      </c>
      <c r="K21" s="4">
        <v>157440</v>
      </c>
      <c r="L21" s="4">
        <v>157440</v>
      </c>
      <c r="M21" s="4">
        <v>16888171</v>
      </c>
      <c r="N21" s="4">
        <v>16885238</v>
      </c>
      <c r="O21" s="4">
        <v>0</v>
      </c>
      <c r="P21" s="4">
        <v>16891147</v>
      </c>
      <c r="Q21" s="4">
        <v>16890436</v>
      </c>
      <c r="R21" s="4">
        <v>16891200</v>
      </c>
      <c r="S21" s="4">
        <v>16891200</v>
      </c>
      <c r="T21" s="4">
        <v>16891200</v>
      </c>
      <c r="U21" s="4">
        <v>16891200</v>
      </c>
      <c r="V21" s="4">
        <v>16891200</v>
      </c>
      <c r="W21" s="4">
        <v>16891200</v>
      </c>
      <c r="X21" s="3" t="s">
        <v>466</v>
      </c>
      <c r="Y21" s="3" t="s">
        <v>465</v>
      </c>
      <c r="Z21" s="3" t="s">
        <v>112</v>
      </c>
      <c r="AA21" s="3" t="s">
        <v>467</v>
      </c>
      <c r="AB21" s="3" t="s">
        <v>467</v>
      </c>
      <c r="AC21" s="1" t="s">
        <v>467</v>
      </c>
      <c r="AD21" s="3" t="s">
        <v>467</v>
      </c>
      <c r="AE21" s="3" t="s">
        <v>467</v>
      </c>
      <c r="AF21" s="3" t="s">
        <v>467</v>
      </c>
      <c r="AG21" s="3" t="s">
        <v>467</v>
      </c>
      <c r="AH21" s="3" t="s">
        <v>467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1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1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1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1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1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1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1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1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1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</row>
    <row x14ac:dyDescent="0.25" r="22" customHeight="1" ht="18">
      <c r="A22" s="1" t="s">
        <v>882</v>
      </c>
      <c r="B22" s="4">
        <v>315120</v>
      </c>
      <c r="C22" s="4">
        <v>244560</v>
      </c>
      <c r="D22" s="4">
        <v>0</v>
      </c>
      <c r="E22" s="4">
        <v>217200</v>
      </c>
      <c r="F22" s="4">
        <v>297120</v>
      </c>
      <c r="G22" s="4">
        <v>197520</v>
      </c>
      <c r="H22" s="4">
        <v>161040</v>
      </c>
      <c r="I22" s="4">
        <v>182880</v>
      </c>
      <c r="J22" s="4">
        <v>157440</v>
      </c>
      <c r="K22" s="4">
        <v>157440</v>
      </c>
      <c r="L22" s="4">
        <v>156960</v>
      </c>
      <c r="M22" s="4">
        <v>16878968</v>
      </c>
      <c r="N22" s="4">
        <v>13702114</v>
      </c>
      <c r="O22" s="4">
        <v>0</v>
      </c>
      <c r="P22" s="4">
        <v>13367439</v>
      </c>
      <c r="Q22" s="4">
        <v>16881623</v>
      </c>
      <c r="R22" s="4">
        <v>16890041</v>
      </c>
      <c r="S22" s="4">
        <v>16888720</v>
      </c>
      <c r="T22" s="4">
        <v>16890574</v>
      </c>
      <c r="U22" s="4">
        <v>16891200</v>
      </c>
      <c r="V22" s="4">
        <v>16891200</v>
      </c>
      <c r="W22" s="4">
        <v>16886721</v>
      </c>
      <c r="X22" s="3" t="s">
        <v>714</v>
      </c>
      <c r="Y22" s="3" t="s">
        <v>883</v>
      </c>
      <c r="Z22" s="3" t="s">
        <v>112</v>
      </c>
      <c r="AA22" s="3" t="s">
        <v>884</v>
      </c>
      <c r="AB22" s="3" t="s">
        <v>783</v>
      </c>
      <c r="AC22" s="1" t="s">
        <v>109</v>
      </c>
      <c r="AD22" s="3" t="s">
        <v>109</v>
      </c>
      <c r="AE22" s="3" t="s">
        <v>467</v>
      </c>
      <c r="AF22" s="3" t="s">
        <v>467</v>
      </c>
      <c r="AG22" s="3" t="s">
        <v>467</v>
      </c>
      <c r="AH22" s="3" t="s">
        <v>308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1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1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1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1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1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1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1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1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1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</row>
    <row x14ac:dyDescent="0.25" r="23" customHeight="1" ht="18">
      <c r="A23" s="1" t="s">
        <v>885</v>
      </c>
      <c r="B23" s="4">
        <v>22320</v>
      </c>
      <c r="C23" s="4">
        <v>0</v>
      </c>
      <c r="D23" s="4">
        <v>0</v>
      </c>
      <c r="E23" s="4">
        <v>0</v>
      </c>
      <c r="F23" s="4">
        <v>44160</v>
      </c>
      <c r="G23" s="4">
        <v>294000</v>
      </c>
      <c r="H23" s="4">
        <v>298560</v>
      </c>
      <c r="I23" s="4">
        <v>281520</v>
      </c>
      <c r="J23" s="4">
        <v>175920</v>
      </c>
      <c r="K23" s="4">
        <v>157440</v>
      </c>
      <c r="L23" s="4">
        <v>231360</v>
      </c>
      <c r="M23" s="4">
        <v>2394636</v>
      </c>
      <c r="N23" s="4">
        <v>0</v>
      </c>
      <c r="O23" s="4">
        <v>0</v>
      </c>
      <c r="P23" s="4">
        <v>0</v>
      </c>
      <c r="Q23" s="4">
        <v>2901216</v>
      </c>
      <c r="R23" s="4">
        <v>16878517</v>
      </c>
      <c r="S23" s="4">
        <v>16890000</v>
      </c>
      <c r="T23" s="4">
        <v>16884000</v>
      </c>
      <c r="U23" s="4">
        <v>16885031</v>
      </c>
      <c r="V23" s="4">
        <v>16891200</v>
      </c>
      <c r="W23" s="4">
        <v>16878374</v>
      </c>
      <c r="X23" s="3" t="s">
        <v>886</v>
      </c>
      <c r="Y23" s="3" t="s">
        <v>112</v>
      </c>
      <c r="Z23" s="3" t="s">
        <v>112</v>
      </c>
      <c r="AA23" s="3" t="s">
        <v>112</v>
      </c>
      <c r="AB23" s="3" t="s">
        <v>887</v>
      </c>
      <c r="AC23" s="1" t="s">
        <v>502</v>
      </c>
      <c r="AD23" s="3" t="s">
        <v>109</v>
      </c>
      <c r="AE23" s="3" t="s">
        <v>465</v>
      </c>
      <c r="AF23" s="3" t="s">
        <v>465</v>
      </c>
      <c r="AG23" s="3" t="s">
        <v>467</v>
      </c>
      <c r="AH23" s="3" t="s">
        <v>502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1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1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1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1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1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1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1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1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E23" s="3"/>
      <c r="RF23" s="3"/>
      <c r="RG23" s="1"/>
      <c r="RH23" s="3"/>
      <c r="RI23" s="3"/>
      <c r="RJ23" s="3"/>
      <c r="RK23" s="3"/>
      <c r="RL23" s="3"/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/>
      <c r="SF23" s="3"/>
      <c r="SG23" s="3"/>
      <c r="SH23" s="3"/>
      <c r="SI23" s="3"/>
      <c r="SJ23" s="3"/>
      <c r="SK23" s="3"/>
    </row>
    <row x14ac:dyDescent="0.25" r="24" customHeight="1" ht="18">
      <c r="A24" s="1" t="s">
        <v>888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33360</v>
      </c>
      <c r="H24" s="4">
        <v>172080</v>
      </c>
      <c r="I24" s="4">
        <v>115680</v>
      </c>
      <c r="J24" s="4">
        <v>295200</v>
      </c>
      <c r="K24" s="4">
        <v>182400</v>
      </c>
      <c r="L24" s="4">
        <v>159840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2037216</v>
      </c>
      <c r="S24" s="4">
        <v>12361200</v>
      </c>
      <c r="T24" s="4">
        <v>7873584</v>
      </c>
      <c r="U24" s="4">
        <v>16880856</v>
      </c>
      <c r="V24" s="4">
        <v>16884152</v>
      </c>
      <c r="W24" s="4">
        <v>11392032</v>
      </c>
      <c r="X24" s="3" t="s">
        <v>112</v>
      </c>
      <c r="Y24" s="3" t="s">
        <v>112</v>
      </c>
      <c r="Z24" s="3" t="s">
        <v>112</v>
      </c>
      <c r="AA24" s="3" t="s">
        <v>112</v>
      </c>
      <c r="AB24" s="3" t="s">
        <v>112</v>
      </c>
      <c r="AC24" s="1" t="s">
        <v>889</v>
      </c>
      <c r="AD24" s="3" t="s">
        <v>890</v>
      </c>
      <c r="AE24" s="3" t="s">
        <v>891</v>
      </c>
      <c r="AF24" s="3" t="s">
        <v>783</v>
      </c>
      <c r="AG24" s="3" t="s">
        <v>465</v>
      </c>
      <c r="AH24" s="3" t="s">
        <v>892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1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1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1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1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1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1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1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1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E24" s="3"/>
      <c r="RF24" s="3"/>
      <c r="RG24" s="1"/>
      <c r="RH24" s="3"/>
      <c r="RI24" s="3"/>
      <c r="RJ24" s="3"/>
      <c r="RK24" s="3"/>
      <c r="RL24" s="3"/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3"/>
      <c r="SH24" s="3"/>
      <c r="SI24" s="3"/>
      <c r="SJ24" s="3"/>
      <c r="SK24" s="3"/>
    </row>
    <row x14ac:dyDescent="0.25" r="25" customHeight="1" ht="18">
      <c r="A25" s="1" t="s">
        <v>893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144480</v>
      </c>
      <c r="K25" s="4">
        <v>260160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10177584</v>
      </c>
      <c r="V25" s="4">
        <v>16886424</v>
      </c>
      <c r="W25" s="4">
        <v>0</v>
      </c>
      <c r="X25" s="3" t="s">
        <v>112</v>
      </c>
      <c r="Y25" s="3" t="s">
        <v>112</v>
      </c>
      <c r="Z25" s="3" t="s">
        <v>112</v>
      </c>
      <c r="AA25" s="3" t="s">
        <v>112</v>
      </c>
      <c r="AB25" s="3" t="s">
        <v>112</v>
      </c>
      <c r="AC25" s="1" t="s">
        <v>112</v>
      </c>
      <c r="AD25" s="3" t="s">
        <v>112</v>
      </c>
      <c r="AE25" s="3" t="s">
        <v>112</v>
      </c>
      <c r="AF25" s="3" t="s">
        <v>894</v>
      </c>
      <c r="AG25" s="3" t="s">
        <v>308</v>
      </c>
      <c r="AH25" s="3" t="s">
        <v>112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1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1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1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1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1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1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1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1"/>
      <c r="PV25" s="3"/>
      <c r="PW25" s="3"/>
      <c r="PX25" s="3"/>
      <c r="PY25" s="3"/>
      <c r="PZ25" s="3"/>
      <c r="QA25" s="3"/>
      <c r="QB25" s="3"/>
      <c r="QC25" s="3"/>
      <c r="QD25" s="3"/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3"/>
      <c r="QQ25" s="3"/>
      <c r="QR25" s="3"/>
      <c r="QS25" s="3"/>
      <c r="QT25" s="3"/>
      <c r="QU25" s="3"/>
      <c r="QV25" s="3"/>
      <c r="QW25" s="3"/>
      <c r="QX25" s="3"/>
      <c r="QY25" s="3"/>
      <c r="QZ25" s="3"/>
      <c r="RA25" s="3"/>
      <c r="RB25" s="3"/>
      <c r="RC25" s="3"/>
      <c r="RD25" s="3"/>
      <c r="RE25" s="3"/>
      <c r="RF25" s="3"/>
      <c r="RG25" s="1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</row>
    <row x14ac:dyDescent="0.25" r="26" customHeight="1" ht="18">
      <c r="A26" s="1" t="s">
        <v>895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70320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4250976</v>
      </c>
      <c r="W26" s="4">
        <v>0</v>
      </c>
      <c r="X26" s="3" t="s">
        <v>112</v>
      </c>
      <c r="Y26" s="3" t="s">
        <v>112</v>
      </c>
      <c r="Z26" s="3" t="s">
        <v>112</v>
      </c>
      <c r="AA26" s="3" t="s">
        <v>112</v>
      </c>
      <c r="AB26" s="3" t="s">
        <v>112</v>
      </c>
      <c r="AC26" s="1" t="s">
        <v>112</v>
      </c>
      <c r="AD26" s="3" t="s">
        <v>112</v>
      </c>
      <c r="AE26" s="3" t="s">
        <v>112</v>
      </c>
      <c r="AF26" s="3" t="s">
        <v>112</v>
      </c>
      <c r="AG26" s="3" t="s">
        <v>896</v>
      </c>
      <c r="AH26" s="3" t="s">
        <v>112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1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1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1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1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1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1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1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1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1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</row>
    <row x14ac:dyDescent="0.25" r="27" customHeight="1" ht="18">
      <c r="A27" s="1" t="s">
        <v>897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3" t="s">
        <v>112</v>
      </c>
      <c r="Y27" s="3" t="s">
        <v>112</v>
      </c>
      <c r="Z27" s="3" t="s">
        <v>112</v>
      </c>
      <c r="AA27" s="3" t="s">
        <v>112</v>
      </c>
      <c r="AB27" s="3" t="s">
        <v>112</v>
      </c>
      <c r="AC27" s="1" t="s">
        <v>112</v>
      </c>
      <c r="AD27" s="3" t="s">
        <v>112</v>
      </c>
      <c r="AE27" s="3" t="s">
        <v>112</v>
      </c>
      <c r="AF27" s="3" t="s">
        <v>112</v>
      </c>
      <c r="AG27" s="3" t="s">
        <v>112</v>
      </c>
      <c r="AH27" s="3" t="s">
        <v>112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1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1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1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1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1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1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1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1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1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M55"/>
  <sheetViews>
    <sheetView workbookViewId="0"/>
  </sheetViews>
  <sheetFormatPr defaultRowHeight="15" x14ac:dyDescent="0.25"/>
  <cols>
    <col min="1" max="1" style="5" width="18.005" customWidth="1" bestFit="1"/>
    <col min="2" max="2" style="14" width="13.290714285714287" customWidth="1" bestFit="1"/>
    <col min="3" max="3" style="19" width="13.290714285714287" customWidth="1" bestFit="1"/>
    <col min="4" max="4" style="14" width="13.290714285714287" customWidth="1" bestFit="1"/>
    <col min="5" max="5" style="14" width="13.290714285714287" customWidth="1" bestFit="1"/>
    <col min="6" max="6" style="14" width="13.290714285714287" customWidth="1" bestFit="1"/>
    <col min="7" max="7" style="14" width="13.290714285714287" customWidth="1" bestFit="1"/>
    <col min="8" max="8" style="14" width="13.290714285714287" customWidth="1" bestFit="1"/>
    <col min="9" max="9" style="14" width="13.290714285714287" customWidth="1" bestFit="1"/>
    <col min="10" max="10" style="14" width="13.290714285714287" customWidth="1" bestFit="1"/>
    <col min="11" max="11" style="14" width="13.290714285714287" customWidth="1" bestFit="1"/>
    <col min="12" max="12" style="14" width="13.290714285714287" customWidth="1" bestFit="1"/>
    <col min="13" max="13" style="14" width="13.290714285714287" customWidth="1" bestFit="1"/>
    <col min="14" max="14" style="14" width="13.290714285714287" customWidth="1" bestFit="1"/>
    <col min="15" max="15" style="14" width="13.290714285714287" customWidth="1" bestFit="1"/>
    <col min="16" max="16" style="14" width="13.290714285714287" customWidth="1" bestFit="1"/>
    <col min="17" max="17" style="14" width="13.290714285714287" customWidth="1" bestFit="1"/>
    <col min="18" max="18" style="14" width="13.290714285714287" customWidth="1" bestFit="1"/>
    <col min="19" max="19" style="14" width="13.290714285714287" customWidth="1" bestFit="1"/>
    <col min="20" max="20" style="14" width="13.290714285714287" customWidth="1" bestFit="1"/>
    <col min="21" max="21" style="14" width="13.290714285714287" customWidth="1" bestFit="1"/>
    <col min="22" max="22" style="14" width="13.290714285714287" customWidth="1" bestFit="1"/>
    <col min="23" max="23" style="14" width="13.290714285714287" customWidth="1" bestFit="1"/>
    <col min="24" max="24" style="14" width="13.290714285714287" customWidth="1" bestFit="1"/>
    <col min="25" max="25" style="14" width="13.290714285714287" customWidth="1" bestFit="1"/>
    <col min="26" max="26" style="14" width="13.290714285714287" customWidth="1" bestFit="1"/>
    <col min="27" max="27" style="14" width="13.290714285714287" customWidth="1" bestFit="1"/>
    <col min="28" max="28" style="14" width="13.290714285714287" customWidth="1" bestFit="1"/>
    <col min="29" max="29" style="15" width="13.290714285714287" customWidth="1" bestFit="1"/>
    <col min="30" max="30" style="14" width="13.290714285714287" customWidth="1" bestFit="1"/>
    <col min="31" max="31" style="14" width="13.290714285714287" customWidth="1" bestFit="1"/>
    <col min="32" max="32" style="14" width="13.290714285714287" customWidth="1" bestFit="1"/>
    <col min="33" max="33" style="14" width="13.290714285714287" customWidth="1" bestFit="1"/>
    <col min="34" max="34" style="14" width="13.290714285714287" customWidth="1" bestFit="1"/>
    <col min="35" max="35" style="14" width="13.290714285714287" customWidth="1" bestFit="1"/>
    <col min="36" max="36" style="14" width="13.290714285714287" customWidth="1" bestFit="1"/>
    <col min="37" max="37" style="14" width="13.290714285714287" customWidth="1" bestFit="1"/>
    <col min="38" max="38" style="14" width="13.290714285714287" customWidth="1" bestFit="1"/>
    <col min="39" max="39" style="14" width="13.290714285714287" customWidth="1" bestFit="1"/>
    <col min="40" max="40" style="14" width="13.290714285714287" customWidth="1" bestFit="1"/>
    <col min="41" max="41" style="14" width="13.290714285714287" customWidth="1" bestFit="1"/>
    <col min="42" max="42" style="14" width="13.290714285714287" customWidth="1" bestFit="1"/>
    <col min="43" max="43" style="14" width="13.290714285714287" customWidth="1" bestFit="1"/>
    <col min="44" max="44" style="14" width="13.290714285714287" customWidth="1" bestFit="1"/>
    <col min="45" max="45" style="14" width="13.290714285714287" customWidth="1" bestFit="1"/>
    <col min="46" max="46" style="14" width="13.290714285714287" customWidth="1" bestFit="1"/>
    <col min="47" max="47" style="14" width="13.290714285714287" customWidth="1" bestFit="1"/>
    <col min="48" max="48" style="14" width="13.290714285714287" customWidth="1" bestFit="1"/>
    <col min="49" max="49" style="14" width="13.290714285714287" customWidth="1" bestFit="1"/>
    <col min="50" max="50" style="14" width="13.290714285714287" customWidth="1" bestFit="1"/>
    <col min="51" max="51" style="14" width="13.290714285714287" customWidth="1" bestFit="1"/>
    <col min="52" max="52" style="14" width="13.290714285714287" customWidth="1" bestFit="1"/>
    <col min="53" max="53" style="14" width="13.290714285714287" customWidth="1" bestFit="1"/>
    <col min="54" max="54" style="14" width="13.290714285714287" customWidth="1" bestFit="1"/>
    <col min="55" max="55" style="14" width="13.290714285714287" customWidth="1" bestFit="1"/>
    <col min="56" max="56" style="14" width="13.290714285714287" customWidth="1" bestFit="1"/>
    <col min="57" max="57" style="14" width="13.290714285714287" customWidth="1" bestFit="1"/>
    <col min="58" max="58" style="14" width="13.290714285714287" customWidth="1" bestFit="1"/>
    <col min="59" max="59" style="14" width="13.290714285714287" customWidth="1" bestFit="1"/>
    <col min="60" max="60" style="14" width="13.290714285714287" customWidth="1" bestFit="1"/>
    <col min="61" max="61" style="14" width="13.290714285714287" customWidth="1" bestFit="1"/>
    <col min="62" max="62" style="14" width="13.290714285714287" customWidth="1" bestFit="1"/>
    <col min="63" max="63" style="15" width="13.290714285714287" customWidth="1" bestFit="1"/>
    <col min="64" max="64" style="14" width="13.290714285714287" customWidth="1" bestFit="1"/>
    <col min="65" max="65" style="14" width="13.290714285714287" customWidth="1" bestFit="1"/>
    <col min="66" max="66" style="14" width="13.290714285714287" customWidth="1" bestFit="1"/>
    <col min="67" max="67" style="14" width="13.290714285714287" customWidth="1" bestFit="1"/>
    <col min="68" max="68" style="14" width="13.290714285714287" customWidth="1" bestFit="1"/>
    <col min="69" max="69" style="14" width="13.290714285714287" customWidth="1" bestFit="1"/>
    <col min="70" max="70" style="14" width="13.290714285714287" customWidth="1" bestFit="1"/>
    <col min="71" max="71" style="14" width="13.290714285714287" customWidth="1" bestFit="1"/>
    <col min="72" max="72" style="14" width="13.290714285714287" customWidth="1" bestFit="1"/>
    <col min="73" max="73" style="14" width="13.290714285714287" customWidth="1" bestFit="1"/>
    <col min="74" max="74" style="14" width="13.290714285714287" customWidth="1" bestFit="1"/>
    <col min="75" max="75" style="14" width="13.290714285714287" customWidth="1" bestFit="1"/>
    <col min="76" max="76" style="14" width="13.290714285714287" customWidth="1" bestFit="1"/>
    <col min="77" max="77" style="14" width="13.290714285714287" customWidth="1" bestFit="1"/>
    <col min="78" max="78" style="14" width="13.290714285714287" customWidth="1" bestFit="1"/>
    <col min="79" max="79" style="14" width="13.290714285714287" customWidth="1" bestFit="1"/>
    <col min="80" max="80" style="14" width="13.290714285714287" customWidth="1" bestFit="1"/>
    <col min="81" max="81" style="14" width="13.290714285714287" customWidth="1" bestFit="1"/>
    <col min="82" max="82" style="14" width="13.290714285714287" customWidth="1" bestFit="1"/>
    <col min="83" max="83" style="14" width="13.290714285714287" customWidth="1" bestFit="1"/>
    <col min="84" max="84" style="14" width="13.290714285714287" customWidth="1" bestFit="1"/>
    <col min="85" max="85" style="14" width="13.290714285714287" customWidth="1" bestFit="1"/>
    <col min="86" max="86" style="14" width="13.290714285714287" customWidth="1" bestFit="1"/>
    <col min="87" max="87" style="14" width="13.290714285714287" customWidth="1" bestFit="1"/>
    <col min="88" max="88" style="14" width="13.290714285714287" customWidth="1" bestFit="1"/>
    <col min="89" max="89" style="14" width="13.290714285714287" customWidth="1" bestFit="1"/>
    <col min="90" max="90" style="14" width="13.290714285714287" customWidth="1" bestFit="1"/>
    <col min="91" max="91" style="14" width="13.290714285714287" customWidth="1" bestFit="1"/>
    <col min="92" max="92" style="14" width="13.290714285714287" customWidth="1" bestFit="1"/>
    <col min="93" max="93" style="14" width="13.290714285714287" customWidth="1" bestFit="1"/>
    <col min="94" max="94" style="14" width="13.290714285714287" customWidth="1" bestFit="1"/>
    <col min="95" max="95" style="15" width="13.290714285714287" customWidth="1" bestFit="1"/>
    <col min="96" max="96" style="14" width="13.290714285714287" customWidth="1" bestFit="1"/>
    <col min="97" max="97" style="14" width="13.290714285714287" customWidth="1" bestFit="1"/>
    <col min="98" max="98" style="14" width="13.290714285714287" customWidth="1" bestFit="1"/>
    <col min="99" max="99" style="14" width="13.290714285714287" customWidth="1" bestFit="1"/>
    <col min="100" max="100" style="14" width="13.290714285714287" customWidth="1" bestFit="1"/>
    <col min="101" max="101" style="14" width="13.290714285714287" customWidth="1" bestFit="1"/>
    <col min="102" max="102" style="14" width="13.290714285714287" customWidth="1" bestFit="1"/>
    <col min="103" max="103" style="14" width="13.290714285714287" customWidth="1" bestFit="1"/>
    <col min="104" max="104" style="14" width="13.290714285714287" customWidth="1" bestFit="1"/>
    <col min="105" max="105" style="14" width="13.290714285714287" customWidth="1" bestFit="1"/>
    <col min="106" max="106" style="14" width="13.290714285714287" customWidth="1" bestFit="1"/>
    <col min="107" max="107" style="14" width="13.290714285714287" customWidth="1" bestFit="1"/>
    <col min="108" max="108" style="14" width="13.290714285714287" customWidth="1" bestFit="1"/>
    <col min="109" max="109" style="14" width="13.290714285714287" customWidth="1" bestFit="1"/>
    <col min="110" max="110" style="14" width="13.290714285714287" customWidth="1" bestFit="1"/>
    <col min="111" max="111" style="14" width="13.290714285714287" customWidth="1" bestFit="1"/>
    <col min="112" max="112" style="14" width="13.290714285714287" customWidth="1" bestFit="1"/>
    <col min="113" max="113" style="14" width="13.290714285714287" customWidth="1" bestFit="1"/>
    <col min="114" max="114" style="14" width="13.290714285714287" customWidth="1" bestFit="1"/>
    <col min="115" max="115" style="14" width="13.290714285714287" customWidth="1" bestFit="1"/>
    <col min="116" max="116" style="14" width="13.290714285714287" customWidth="1" bestFit="1"/>
    <col min="117" max="117" style="14" width="13.290714285714287" customWidth="1" bestFit="1"/>
    <col min="118" max="118" style="14" width="13.290714285714287" customWidth="1" bestFit="1"/>
    <col min="119" max="119" style="14" width="13.290714285714287" customWidth="1" bestFit="1"/>
    <col min="120" max="120" style="14" width="13.290714285714287" customWidth="1" bestFit="1"/>
    <col min="121" max="121" style="14" width="13.290714285714287" customWidth="1" bestFit="1"/>
    <col min="122" max="122" style="14" width="13.290714285714287" customWidth="1" bestFit="1"/>
    <col min="123" max="123" style="14" width="13.290714285714287" customWidth="1" bestFit="1"/>
    <col min="124" max="124" style="14" width="13.290714285714287" customWidth="1" bestFit="1"/>
    <col min="125" max="125" style="14" width="13.290714285714287" customWidth="1" bestFit="1"/>
    <col min="126" max="126" style="14" width="13.290714285714287" customWidth="1" bestFit="1"/>
    <col min="127" max="127" style="14" width="13.290714285714287" customWidth="1" bestFit="1"/>
    <col min="128" max="128" style="14" width="13.290714285714287" customWidth="1" bestFit="1"/>
    <col min="129" max="129" style="14" width="13.290714285714287" customWidth="1" bestFit="1"/>
    <col min="130" max="130" style="14" width="13.290714285714287" customWidth="1" bestFit="1"/>
    <col min="131" max="131" style="14" width="13.290714285714287" customWidth="1" bestFit="1"/>
    <col min="132" max="132" style="14" width="13.290714285714287" customWidth="1" bestFit="1"/>
    <col min="133" max="133" style="14" width="13.290714285714287" customWidth="1" bestFit="1"/>
    <col min="134" max="134" style="14" width="13.290714285714287" customWidth="1" bestFit="1"/>
    <col min="135" max="135" style="14" width="13.290714285714287" customWidth="1" bestFit="1"/>
    <col min="136" max="136" style="14" width="13.290714285714287" customWidth="1" bestFit="1"/>
    <col min="137" max="137" style="14" width="13.290714285714287" customWidth="1" bestFit="1"/>
    <col min="138" max="138" style="14" width="13.290714285714287" customWidth="1" bestFit="1"/>
    <col min="139" max="139" style="14" width="13.290714285714287" customWidth="1" bestFit="1"/>
    <col min="140" max="140" style="14" width="13.290714285714287" customWidth="1" bestFit="1"/>
    <col min="141" max="141" style="14" width="13.290714285714287" customWidth="1" bestFit="1"/>
    <col min="142" max="142" style="14" width="13.290714285714287" customWidth="1" bestFit="1"/>
    <col min="143" max="143" style="14" width="13.290714285714287" customWidth="1" bestFit="1"/>
    <col min="144" max="144" style="14" width="13.290714285714287" customWidth="1" bestFit="1"/>
    <col min="145" max="145" style="14" width="13.290714285714287" customWidth="1" bestFit="1"/>
    <col min="146" max="146" style="14" width="13.290714285714287" customWidth="1" bestFit="1"/>
    <col min="147" max="147" style="14" width="13.290714285714287" customWidth="1" bestFit="1"/>
    <col min="148" max="148" style="14" width="13.290714285714287" customWidth="1" bestFit="1"/>
    <col min="149" max="149" style="15" width="13.290714285714287" customWidth="1" bestFit="1"/>
    <col min="150" max="150" style="14" width="13.290714285714287" customWidth="1" bestFit="1"/>
    <col min="151" max="151" style="14" width="13.290714285714287" customWidth="1" bestFit="1"/>
    <col min="152" max="152" style="14" width="13.290714285714287" customWidth="1" bestFit="1"/>
    <col min="153" max="153" style="14" width="13.290714285714287" customWidth="1" bestFit="1"/>
    <col min="154" max="154" style="14" width="13.290714285714287" customWidth="1" bestFit="1"/>
    <col min="155" max="155" style="14" width="13.290714285714287" customWidth="1" bestFit="1"/>
    <col min="156" max="156" style="14" width="13.290714285714287" customWidth="1" bestFit="1"/>
    <col min="157" max="157" style="14" width="13.290714285714287" customWidth="1" bestFit="1"/>
    <col min="158" max="158" style="14" width="13.290714285714287" customWidth="1" bestFit="1"/>
    <col min="159" max="159" style="14" width="13.290714285714287" customWidth="1" bestFit="1"/>
    <col min="160" max="160" style="14" width="13.290714285714287" customWidth="1" bestFit="1"/>
    <col min="161" max="161" style="14" width="13.290714285714287" customWidth="1" bestFit="1"/>
    <col min="162" max="162" style="14" width="13.290714285714287" customWidth="1" bestFit="1"/>
    <col min="163" max="163" style="14" width="13.290714285714287" customWidth="1" bestFit="1"/>
    <col min="164" max="164" style="14" width="13.290714285714287" customWidth="1" bestFit="1"/>
    <col min="165" max="165" style="14" width="13.290714285714287" customWidth="1" bestFit="1"/>
    <col min="166" max="166" style="14" width="13.290714285714287" customWidth="1" bestFit="1"/>
    <col min="167" max="167" style="14" width="13.290714285714287" customWidth="1" bestFit="1"/>
    <col min="168" max="168" style="14" width="13.290714285714287" customWidth="1" bestFit="1"/>
    <col min="169" max="169" style="14" width="13.290714285714287" customWidth="1" bestFit="1"/>
    <col min="170" max="170" style="14" width="13.290714285714287" customWidth="1" bestFit="1"/>
    <col min="171" max="171" style="14" width="13.290714285714287" customWidth="1" bestFit="1"/>
    <col min="172" max="172" style="14" width="13.290714285714287" customWidth="1" bestFit="1"/>
    <col min="173" max="173" style="14" width="13.290714285714287" customWidth="1" bestFit="1"/>
    <col min="174" max="174" style="14" width="13.290714285714287" customWidth="1" bestFit="1"/>
    <col min="175" max="175" style="14" width="13.290714285714287" customWidth="1" bestFit="1"/>
    <col min="176" max="176" style="14" width="13.290714285714287" customWidth="1" bestFit="1"/>
    <col min="177" max="177" style="14" width="13.290714285714287" customWidth="1" bestFit="1"/>
    <col min="178" max="178" style="14" width="13.290714285714287" customWidth="1" bestFit="1"/>
    <col min="179" max="179" style="14" width="13.290714285714287" customWidth="1" bestFit="1"/>
    <col min="180" max="180" style="14" width="13.290714285714287" customWidth="1" bestFit="1"/>
    <col min="181" max="181" style="14" width="13.290714285714287" customWidth="1" bestFit="1"/>
    <col min="182" max="182" style="14" width="13.290714285714287" customWidth="1" bestFit="1"/>
    <col min="183" max="183" style="14" width="13.290714285714287" customWidth="1" bestFit="1"/>
    <col min="184" max="184" style="14" width="13.290714285714287" customWidth="1" bestFit="1"/>
    <col min="185" max="185" style="14" width="13.290714285714287" customWidth="1" bestFit="1"/>
    <col min="186" max="186" style="14" width="13.290714285714287" customWidth="1" bestFit="1"/>
    <col min="187" max="187" style="14" width="13.290714285714287" customWidth="1" bestFit="1"/>
    <col min="188" max="188" style="14" width="13.290714285714287" customWidth="1" bestFit="1"/>
    <col min="189" max="189" style="14" width="13.290714285714287" customWidth="1" bestFit="1"/>
    <col min="190" max="190" style="14" width="13.290714285714287" customWidth="1" bestFit="1"/>
    <col min="191" max="191" style="14" width="13.290714285714287" customWidth="1" bestFit="1"/>
    <col min="192" max="192" style="14" width="13.290714285714287" customWidth="1" bestFit="1"/>
    <col min="193" max="193" style="14" width="13.290714285714287" customWidth="1" bestFit="1"/>
    <col min="194" max="194" style="14" width="13.290714285714287" customWidth="1" bestFit="1"/>
    <col min="195" max="195" style="14" width="13.290714285714287" customWidth="1" bestFit="1"/>
    <col min="196" max="196" style="14" width="13.290714285714287" customWidth="1" bestFit="1"/>
    <col min="197" max="197" style="14" width="13.290714285714287" customWidth="1" bestFit="1"/>
    <col min="198" max="198" style="14" width="13.290714285714287" customWidth="1" bestFit="1"/>
    <col min="199" max="199" style="14" width="13.290714285714287" customWidth="1" bestFit="1"/>
    <col min="200" max="200" style="14" width="13.290714285714287" customWidth="1" bestFit="1"/>
    <col min="201" max="201" style="14" width="13.290714285714287" customWidth="1" bestFit="1"/>
    <col min="202" max="202" style="14" width="13.290714285714287" customWidth="1" bestFit="1"/>
    <col min="203" max="203" style="14" width="13.290714285714287" customWidth="1" bestFit="1"/>
    <col min="204" max="204" style="14" width="13.290714285714287" customWidth="1" bestFit="1"/>
    <col min="205" max="205" style="14" width="13.290714285714287" customWidth="1" bestFit="1"/>
    <col min="206" max="206" style="14" width="13.290714285714287" customWidth="1" bestFit="1"/>
    <col min="207" max="207" style="15" width="13.290714285714287" customWidth="1" bestFit="1"/>
    <col min="208" max="208" style="14" width="13.290714285714287" customWidth="1" bestFit="1"/>
    <col min="209" max="209" style="14" width="13.290714285714287" customWidth="1" bestFit="1"/>
    <col min="210" max="210" style="14" width="13.290714285714287" customWidth="1" bestFit="1"/>
    <col min="211" max="211" style="14" width="13.290714285714287" customWidth="1" bestFit="1"/>
    <col min="212" max="212" style="14" width="13.290714285714287" customWidth="1" bestFit="1"/>
    <col min="213" max="213" style="14" width="13.290714285714287" customWidth="1" bestFit="1"/>
    <col min="214" max="214" style="14" width="13.290714285714287" customWidth="1" bestFit="1"/>
    <col min="215" max="215" style="14" width="13.290714285714287" customWidth="1" bestFit="1"/>
    <col min="216" max="216" style="14" width="13.290714285714287" customWidth="1" bestFit="1"/>
    <col min="217" max="217" style="14" width="13.290714285714287" customWidth="1" bestFit="1"/>
    <col min="218" max="218" style="14" width="13.290714285714287" customWidth="1" bestFit="1"/>
    <col min="219" max="219" style="14" width="13.290714285714287" customWidth="1" bestFit="1"/>
    <col min="220" max="220" style="14" width="13.290714285714287" customWidth="1" bestFit="1"/>
    <col min="221" max="221" style="14" width="13.290714285714287" customWidth="1" bestFit="1"/>
    <col min="222" max="222" style="14" width="13.290714285714287" customWidth="1" bestFit="1"/>
    <col min="223" max="223" style="14" width="13.290714285714287" customWidth="1" bestFit="1"/>
    <col min="224" max="224" style="14" width="13.290714285714287" customWidth="1" bestFit="1"/>
    <col min="225" max="225" style="14" width="13.290714285714287" customWidth="1" bestFit="1"/>
    <col min="226" max="226" style="14" width="13.290714285714287" customWidth="1" bestFit="1"/>
    <col min="227" max="227" style="14" width="13.290714285714287" customWidth="1" bestFit="1"/>
    <col min="228" max="228" style="14" width="13.290714285714287" customWidth="1" bestFit="1"/>
    <col min="229" max="229" style="14" width="13.290714285714287" customWidth="1" bestFit="1"/>
    <col min="230" max="230" style="14" width="13.290714285714287" customWidth="1" bestFit="1"/>
    <col min="231" max="231" style="14" width="13.290714285714287" customWidth="1" bestFit="1"/>
    <col min="232" max="232" style="14" width="13.290714285714287" customWidth="1" bestFit="1"/>
    <col min="233" max="233" style="14" width="13.290714285714287" customWidth="1" bestFit="1"/>
    <col min="234" max="234" style="14" width="13.290714285714287" customWidth="1" bestFit="1"/>
    <col min="235" max="235" style="14" width="13.290714285714287" customWidth="1" bestFit="1"/>
    <col min="236" max="236" style="14" width="13.290714285714287" customWidth="1" bestFit="1"/>
    <col min="237" max="237" style="14" width="13.290714285714287" customWidth="1" bestFit="1"/>
    <col min="238" max="238" style="14" width="13.290714285714287" customWidth="1" bestFit="1"/>
    <col min="239" max="239" style="14" width="13.290714285714287" customWidth="1" bestFit="1"/>
    <col min="240" max="240" style="14" width="13.290714285714287" customWidth="1" bestFit="1"/>
    <col min="241" max="241" style="14" width="13.290714285714287" customWidth="1" bestFit="1"/>
    <col min="242" max="242" style="14" width="13.290714285714287" customWidth="1" bestFit="1"/>
    <col min="243" max="243" style="14" width="13.290714285714287" customWidth="1" bestFit="1"/>
    <col min="244" max="244" style="14" width="13.290714285714287" customWidth="1" bestFit="1"/>
    <col min="245" max="245" style="14" width="13.290714285714287" customWidth="1" bestFit="1"/>
    <col min="246" max="246" style="14" width="13.290714285714287" customWidth="1" bestFit="1"/>
    <col min="247" max="247" style="14" width="13.290714285714287" customWidth="1" bestFit="1"/>
    <col min="248" max="248" style="14" width="13.290714285714287" customWidth="1" bestFit="1"/>
    <col min="249" max="249" style="14" width="13.290714285714287" customWidth="1" bestFit="1"/>
    <col min="250" max="250" style="14" width="13.290714285714287" customWidth="1" bestFit="1"/>
    <col min="251" max="251" style="14" width="13.290714285714287" customWidth="1" bestFit="1"/>
    <col min="252" max="252" style="14" width="13.290714285714287" customWidth="1" bestFit="1"/>
    <col min="253" max="253" style="14" width="13.290714285714287" customWidth="1" bestFit="1"/>
    <col min="254" max="254" style="14" width="13.290714285714287" customWidth="1" bestFit="1"/>
    <col min="255" max="255" style="14" width="13.290714285714287" customWidth="1" bestFit="1"/>
    <col min="256" max="256" style="14" width="13.290714285714287" customWidth="1" bestFit="1"/>
    <col min="257" max="257" style="14" width="13.290714285714287" customWidth="1" bestFit="1"/>
    <col min="258" max="258" style="14" width="13.290714285714287" customWidth="1" bestFit="1"/>
    <col min="259" max="259" style="14" width="13.290714285714287" customWidth="1" bestFit="1"/>
    <col min="260" max="260" style="14" width="13.290714285714287" customWidth="1" bestFit="1"/>
    <col min="261" max="261" style="14" width="13.290714285714287" customWidth="1" bestFit="1"/>
    <col min="262" max="262" style="14" width="13.290714285714287" customWidth="1" bestFit="1"/>
    <col min="263" max="263" style="14" width="13.290714285714287" customWidth="1" bestFit="1"/>
    <col min="264" max="264" style="14" width="13.290714285714287" customWidth="1" bestFit="1"/>
    <col min="265" max="265" style="14" width="13.290714285714287" customWidth="1" bestFit="1"/>
    <col min="266" max="266" style="14" width="13.290714285714287" customWidth="1" bestFit="1"/>
    <col min="267" max="267" style="14" width="13.290714285714287" customWidth="1" bestFit="1"/>
    <col min="268" max="268" style="14" width="13.290714285714287" customWidth="1" bestFit="1"/>
    <col min="269" max="269" style="14" width="13.290714285714287" customWidth="1" bestFit="1"/>
    <col min="270" max="270" style="14" width="13.290714285714287" customWidth="1" bestFit="1"/>
    <col min="271" max="271" style="15" width="13.290714285714287" customWidth="1" bestFit="1"/>
    <col min="272" max="272" style="14" width="13.290714285714287" customWidth="1" bestFit="1"/>
    <col min="273" max="273" style="14" width="13.290714285714287" customWidth="1" bestFit="1"/>
    <col min="274" max="274" style="14" width="13.290714285714287" customWidth="1" bestFit="1"/>
    <col min="275" max="275" style="14" width="13.290714285714287" customWidth="1" bestFit="1"/>
    <col min="276" max="276" style="14" width="13.290714285714287" customWidth="1" bestFit="1"/>
    <col min="277" max="277" style="14" width="13.290714285714287" customWidth="1" bestFit="1"/>
    <col min="278" max="278" style="14" width="13.290714285714287" customWidth="1" bestFit="1"/>
    <col min="279" max="279" style="14" width="13.290714285714287" customWidth="1" bestFit="1"/>
    <col min="280" max="280" style="14" width="13.290714285714287" customWidth="1" bestFit="1"/>
    <col min="281" max="281" style="14" width="13.290714285714287" customWidth="1" bestFit="1"/>
    <col min="282" max="282" style="14" width="13.290714285714287" customWidth="1" bestFit="1"/>
    <col min="283" max="283" style="14" width="13.290714285714287" customWidth="1" bestFit="1"/>
    <col min="284" max="284" style="14" width="13.290714285714287" customWidth="1" bestFit="1"/>
    <col min="285" max="285" style="14" width="13.290714285714287" customWidth="1" bestFit="1"/>
    <col min="286" max="286" style="14" width="13.290714285714287" customWidth="1" bestFit="1"/>
    <col min="287" max="287" style="14" width="13.290714285714287" customWidth="1" bestFit="1"/>
    <col min="288" max="288" style="14" width="13.290714285714287" customWidth="1" bestFit="1"/>
    <col min="289" max="289" style="14" width="13.290714285714287" customWidth="1" bestFit="1"/>
    <col min="290" max="290" style="14" width="13.290714285714287" customWidth="1" bestFit="1"/>
    <col min="291" max="291" style="14" width="13.290714285714287" customWidth="1" bestFit="1"/>
    <col min="292" max="292" style="14" width="13.290714285714287" customWidth="1" bestFit="1"/>
    <col min="293" max="293" style="14" width="13.290714285714287" customWidth="1" bestFit="1"/>
    <col min="294" max="294" style="14" width="13.290714285714287" customWidth="1" bestFit="1"/>
    <col min="295" max="295" style="14" width="13.290714285714287" customWidth="1" bestFit="1"/>
    <col min="296" max="296" style="14" width="13.290714285714287" customWidth="1" bestFit="1"/>
    <col min="297" max="297" style="14" width="13.290714285714287" customWidth="1" bestFit="1"/>
    <col min="298" max="298" style="14" width="13.290714285714287" customWidth="1" bestFit="1"/>
    <col min="299" max="299" style="14" width="13.290714285714287" customWidth="1" bestFit="1"/>
    <col min="300" max="300" style="14" width="13.290714285714287" customWidth="1" bestFit="1"/>
    <col min="301" max="301" style="14" width="13.290714285714287" customWidth="1" bestFit="1"/>
    <col min="302" max="302" style="14" width="13.290714285714287" customWidth="1" bestFit="1"/>
    <col min="303" max="303" style="14" width="13.290714285714287" customWidth="1" bestFit="1"/>
    <col min="304" max="304" style="14" width="13.290714285714287" customWidth="1" bestFit="1"/>
    <col min="305" max="305" style="14" width="13.290714285714287" customWidth="1" bestFit="1"/>
    <col min="306" max="306" style="14" width="13.290714285714287" customWidth="1" bestFit="1"/>
    <col min="307" max="307" style="14" width="13.290714285714287" customWidth="1" bestFit="1"/>
    <col min="308" max="308" style="14" width="13.290714285714287" customWidth="1" bestFit="1"/>
    <col min="309" max="309" style="14" width="13.290714285714287" customWidth="1" bestFit="1"/>
    <col min="310" max="310" style="14" width="13.290714285714287" customWidth="1" bestFit="1"/>
    <col min="311" max="311" style="14" width="13.290714285714287" customWidth="1" bestFit="1"/>
    <col min="312" max="312" style="14" width="13.290714285714287" customWidth="1" bestFit="1"/>
    <col min="313" max="313" style="14" width="13.290714285714287" customWidth="1" bestFit="1"/>
    <col min="314" max="314" style="14" width="13.290714285714287" customWidth="1" bestFit="1"/>
    <col min="315" max="315" style="14" width="13.290714285714287" customWidth="1" bestFit="1"/>
    <col min="316" max="316" style="14" width="13.290714285714287" customWidth="1" bestFit="1"/>
    <col min="317" max="317" style="14" width="13.290714285714287" customWidth="1" bestFit="1"/>
    <col min="318" max="318" style="14" width="13.290714285714287" customWidth="1" bestFit="1"/>
    <col min="319" max="319" style="14" width="13.290714285714287" customWidth="1" bestFit="1"/>
    <col min="320" max="320" style="14" width="13.290714285714287" customWidth="1" bestFit="1"/>
    <col min="321" max="321" style="14" width="13.290714285714287" customWidth="1" bestFit="1"/>
    <col min="322" max="322" style="14" width="13.290714285714287" customWidth="1" bestFit="1"/>
    <col min="323" max="323" style="15" width="13.290714285714287" customWidth="1" bestFit="1"/>
    <col min="324" max="324" style="14" width="13.290714285714287" customWidth="1" bestFit="1"/>
    <col min="325" max="325" style="14" width="13.290714285714287" customWidth="1" bestFit="1"/>
    <col min="326" max="326" style="14" width="13.290714285714287" customWidth="1" bestFit="1"/>
    <col min="327" max="327" style="14" width="13.290714285714287" customWidth="1" bestFit="1"/>
    <col min="328" max="328" style="14" width="13.290714285714287" customWidth="1" bestFit="1"/>
    <col min="329" max="329" style="14" width="13.290714285714287" customWidth="1" bestFit="1"/>
    <col min="330" max="330" style="14" width="13.290714285714287" customWidth="1" bestFit="1"/>
    <col min="331" max="331" style="14" width="13.290714285714287" customWidth="1" bestFit="1"/>
    <col min="332" max="332" style="14" width="13.290714285714287" customWidth="1" bestFit="1"/>
    <col min="333" max="333" style="14" width="13.290714285714287" customWidth="1" bestFit="1"/>
    <col min="334" max="334" style="14" width="13.290714285714287" customWidth="1" bestFit="1"/>
    <col min="335" max="335" style="14" width="13.290714285714287" customWidth="1" bestFit="1"/>
    <col min="336" max="336" style="14" width="13.290714285714287" customWidth="1" bestFit="1"/>
    <col min="337" max="337" style="14" width="13.290714285714287" customWidth="1" bestFit="1"/>
    <col min="338" max="338" style="14" width="13.290714285714287" customWidth="1" bestFit="1"/>
    <col min="339" max="339" style="14" width="13.290714285714287" customWidth="1" bestFit="1"/>
    <col min="340" max="340" style="14" width="13.290714285714287" customWidth="1" bestFit="1"/>
    <col min="341" max="341" style="14" width="13.290714285714287" customWidth="1" bestFit="1"/>
    <col min="342" max="342" style="14" width="13.290714285714287" customWidth="1" bestFit="1"/>
    <col min="343" max="343" style="14" width="13.290714285714287" customWidth="1" bestFit="1"/>
    <col min="344" max="344" style="14" width="13.290714285714287" customWidth="1" bestFit="1"/>
    <col min="345" max="345" style="14" width="13.290714285714287" customWidth="1" bestFit="1"/>
    <col min="346" max="346" style="14" width="13.290714285714287" customWidth="1" bestFit="1"/>
    <col min="347" max="347" style="14" width="13.290714285714287" customWidth="1" bestFit="1"/>
    <col min="348" max="348" style="14" width="13.290714285714287" customWidth="1" bestFit="1"/>
    <col min="349" max="349" style="14" width="13.290714285714287" customWidth="1" bestFit="1"/>
    <col min="350" max="350" style="14" width="13.290714285714287" customWidth="1" bestFit="1"/>
    <col min="351" max="351" style="14" width="13.290714285714287" customWidth="1" bestFit="1"/>
    <col min="352" max="352" style="14" width="13.290714285714287" customWidth="1" bestFit="1"/>
    <col min="353" max="353" style="14" width="13.290714285714287" customWidth="1" bestFit="1"/>
    <col min="354" max="354" style="14" width="13.290714285714287" customWidth="1" bestFit="1"/>
    <col min="355" max="355" style="14" width="13.290714285714287" customWidth="1" bestFit="1"/>
    <col min="356" max="356" style="14" width="13.290714285714287" customWidth="1" bestFit="1"/>
    <col min="357" max="357" style="14" width="13.290714285714287" customWidth="1" bestFit="1"/>
    <col min="358" max="358" style="14" width="13.290714285714287" customWidth="1" bestFit="1"/>
    <col min="359" max="359" style="14" width="13.290714285714287" customWidth="1" bestFit="1"/>
    <col min="360" max="360" style="14" width="13.290714285714287" customWidth="1" bestFit="1"/>
    <col min="361" max="361" style="14" width="13.290714285714287" customWidth="1" bestFit="1"/>
    <col min="362" max="362" style="14" width="13.290714285714287" customWidth="1" bestFit="1"/>
    <col min="363" max="363" style="14" width="13.290714285714287" customWidth="1" bestFit="1"/>
    <col min="364" max="364" style="14" width="13.290714285714287" customWidth="1" bestFit="1"/>
    <col min="365" max="365" style="14" width="13.290714285714287" customWidth="1" bestFit="1"/>
    <col min="366" max="366" style="14" width="13.290714285714287" customWidth="1" bestFit="1"/>
    <col min="367" max="367" style="14" width="13.290714285714287" customWidth="1" bestFit="1"/>
    <col min="368" max="368" style="14" width="13.290714285714287" customWidth="1" bestFit="1"/>
    <col min="369" max="369" style="14" width="13.290714285714287" customWidth="1" bestFit="1"/>
    <col min="370" max="370" style="14" width="13.290714285714287" customWidth="1" bestFit="1"/>
    <col min="371" max="371" style="15" width="13.290714285714287" customWidth="1" bestFit="1"/>
    <col min="372" max="372" style="14" width="13.290714285714287" customWidth="1" bestFit="1"/>
    <col min="373" max="373" style="14" width="13.290714285714287" customWidth="1" bestFit="1"/>
    <col min="374" max="374" style="14" width="13.290714285714287" customWidth="1" bestFit="1"/>
    <col min="375" max="375" style="14" width="13.290714285714287" customWidth="1" bestFit="1"/>
    <col min="376" max="376" style="14" width="13.290714285714287" customWidth="1" bestFit="1"/>
    <col min="377" max="377" style="14" width="13.290714285714287" customWidth="1" bestFit="1"/>
    <col min="378" max="378" style="14" width="13.290714285714287" customWidth="1" bestFit="1"/>
    <col min="379" max="379" style="14" width="13.290714285714287" customWidth="1" bestFit="1"/>
    <col min="380" max="380" style="14" width="13.290714285714287" customWidth="1" bestFit="1"/>
    <col min="381" max="381" style="14" width="13.290714285714287" customWidth="1" bestFit="1"/>
    <col min="382" max="382" style="14" width="13.290714285714287" customWidth="1" bestFit="1"/>
    <col min="383" max="383" style="14" width="13.290714285714287" customWidth="1" bestFit="1"/>
    <col min="384" max="384" style="14" width="13.290714285714287" customWidth="1" bestFit="1"/>
    <col min="385" max="385" style="14" width="13.290714285714287" customWidth="1" bestFit="1"/>
    <col min="386" max="386" style="14" width="13.290714285714287" customWidth="1" bestFit="1"/>
    <col min="387" max="387" style="14" width="13.290714285714287" customWidth="1" bestFit="1"/>
    <col min="388" max="388" style="14" width="13.290714285714287" customWidth="1" bestFit="1"/>
    <col min="389" max="389" style="14" width="13.290714285714287" customWidth="1" bestFit="1"/>
    <col min="390" max="390" style="14" width="13.290714285714287" customWidth="1" bestFit="1"/>
    <col min="391" max="391" style="14" width="13.290714285714287" customWidth="1" bestFit="1"/>
    <col min="392" max="392" style="14" width="13.290714285714287" customWidth="1" bestFit="1"/>
    <col min="393" max="393" style="14" width="13.290714285714287" customWidth="1" bestFit="1"/>
    <col min="394" max="394" style="14" width="13.290714285714287" customWidth="1" bestFit="1"/>
    <col min="395" max="395" style="14" width="13.290714285714287" customWidth="1" bestFit="1"/>
    <col min="396" max="396" style="14" width="13.290714285714287" customWidth="1" bestFit="1"/>
    <col min="397" max="397" style="14" width="13.290714285714287" customWidth="1" bestFit="1"/>
    <col min="398" max="398" style="14" width="13.290714285714287" customWidth="1" bestFit="1"/>
    <col min="399" max="399" style="14" width="13.290714285714287" customWidth="1" bestFit="1"/>
    <col min="400" max="400" style="14" width="13.290714285714287" customWidth="1" bestFit="1"/>
    <col min="401" max="401" style="14" width="13.290714285714287" customWidth="1" bestFit="1"/>
    <col min="402" max="402" style="14" width="13.290714285714287" customWidth="1" bestFit="1"/>
    <col min="403" max="403" style="14" width="13.290714285714287" customWidth="1" bestFit="1"/>
    <col min="404" max="404" style="14" width="13.290714285714287" customWidth="1" bestFit="1"/>
    <col min="405" max="405" style="14" width="13.290714285714287" customWidth="1" bestFit="1"/>
    <col min="406" max="406" style="14" width="13.290714285714287" customWidth="1" bestFit="1"/>
    <col min="407" max="407" style="14" width="13.290714285714287" customWidth="1" bestFit="1"/>
    <col min="408" max="408" style="14" width="13.290714285714287" customWidth="1" bestFit="1"/>
    <col min="409" max="409" style="14" width="13.290714285714287" customWidth="1" bestFit="1"/>
    <col min="410" max="410" style="14" width="13.290714285714287" customWidth="1" bestFit="1"/>
    <col min="411" max="411" style="14" width="13.290714285714287" customWidth="1" bestFit="1"/>
    <col min="412" max="412" style="14" width="13.290714285714287" customWidth="1" bestFit="1"/>
    <col min="413" max="413" style="14" width="13.290714285714287" customWidth="1" bestFit="1"/>
    <col min="414" max="414" style="14" width="13.290714285714287" customWidth="1" bestFit="1"/>
    <col min="415" max="415" style="14" width="13.290714285714287" customWidth="1" bestFit="1"/>
    <col min="416" max="416" style="14" width="13.290714285714287" customWidth="1" bestFit="1"/>
    <col min="417" max="417" style="15" width="13.290714285714287" customWidth="1" bestFit="1"/>
    <col min="418" max="418" style="14" width="13.290714285714287" customWidth="1" bestFit="1"/>
    <col min="419" max="419" style="14" width="13.290714285714287" customWidth="1" bestFit="1"/>
    <col min="420" max="420" style="14" width="13.290714285714287" customWidth="1" bestFit="1"/>
    <col min="421" max="421" style="14" width="13.290714285714287" customWidth="1" bestFit="1"/>
    <col min="422" max="422" style="14" width="13.290714285714287" customWidth="1" bestFit="1"/>
    <col min="423" max="423" style="14" width="13.290714285714287" customWidth="1" bestFit="1"/>
    <col min="424" max="424" style="14" width="13.290714285714287" customWidth="1" bestFit="1"/>
    <col min="425" max="425" style="14" width="13.290714285714287" customWidth="1" bestFit="1"/>
    <col min="426" max="426" style="14" width="13.290714285714287" customWidth="1" bestFit="1"/>
    <col min="427" max="427" style="14" width="13.290714285714287" customWidth="1" bestFit="1"/>
    <col min="428" max="428" style="14" width="13.290714285714287" customWidth="1" bestFit="1"/>
    <col min="429" max="429" style="14" width="13.290714285714287" customWidth="1" bestFit="1"/>
    <col min="430" max="430" style="14" width="13.290714285714287" customWidth="1" bestFit="1"/>
    <col min="431" max="431" style="14" width="13.290714285714287" customWidth="1" bestFit="1"/>
    <col min="432" max="432" style="14" width="13.290714285714287" customWidth="1" bestFit="1"/>
    <col min="433" max="433" style="14" width="13.290714285714287" customWidth="1" bestFit="1"/>
    <col min="434" max="434" style="14" width="13.290714285714287" customWidth="1" bestFit="1"/>
    <col min="435" max="435" style="14" width="13.290714285714287" customWidth="1" bestFit="1"/>
    <col min="436" max="436" style="14" width="13.290714285714287" customWidth="1" bestFit="1"/>
    <col min="437" max="437" style="14" width="13.290714285714287" customWidth="1" bestFit="1"/>
    <col min="438" max="438" style="14" width="13.290714285714287" customWidth="1" bestFit="1"/>
    <col min="439" max="439" style="14" width="13.290714285714287" customWidth="1" bestFit="1"/>
    <col min="440" max="440" style="14" width="13.290714285714287" customWidth="1" bestFit="1"/>
    <col min="441" max="441" style="14" width="13.290714285714287" customWidth="1" bestFit="1"/>
    <col min="442" max="442" style="14" width="13.290714285714287" customWidth="1" bestFit="1"/>
    <col min="443" max="443" style="14" width="13.290714285714287" customWidth="1" bestFit="1"/>
    <col min="444" max="444" style="14" width="13.290714285714287" customWidth="1" bestFit="1"/>
    <col min="445" max="445" style="14" width="13.290714285714287" customWidth="1" bestFit="1"/>
    <col min="446" max="446" style="14" width="13.290714285714287" customWidth="1" bestFit="1"/>
    <col min="447" max="447" style="14" width="13.290714285714287" customWidth="1" bestFit="1"/>
    <col min="448" max="448" style="14" width="13.290714285714287" customWidth="1" bestFit="1"/>
    <col min="449" max="449" style="14" width="13.290714285714287" customWidth="1" bestFit="1"/>
    <col min="450" max="450" style="14" width="13.290714285714287" customWidth="1" bestFit="1"/>
    <col min="451" max="451" style="14" width="13.290714285714287" customWidth="1" bestFit="1"/>
    <col min="452" max="452" style="14" width="13.290714285714287" customWidth="1" bestFit="1"/>
    <col min="453" max="453" style="15" width="13.290714285714287" customWidth="1" bestFit="1"/>
    <col min="454" max="454" style="14" width="13.290714285714287" customWidth="1" bestFit="1"/>
    <col min="455" max="455" style="14" width="13.290714285714287" customWidth="1" bestFit="1"/>
    <col min="456" max="456" style="14" width="13.290714285714287" customWidth="1" bestFit="1"/>
    <col min="457" max="457" style="14" width="13.290714285714287" customWidth="1" bestFit="1"/>
    <col min="458" max="458" style="14" width="13.290714285714287" customWidth="1" bestFit="1"/>
    <col min="459" max="459" style="14" width="13.290714285714287" customWidth="1" bestFit="1"/>
    <col min="460" max="460" style="14" width="13.290714285714287" customWidth="1" bestFit="1"/>
    <col min="461" max="461" style="14" width="13.290714285714287" customWidth="1" bestFit="1"/>
    <col min="462" max="462" style="14" width="13.290714285714287" customWidth="1" bestFit="1"/>
    <col min="463" max="463" style="14" width="13.290714285714287" customWidth="1" bestFit="1"/>
    <col min="464" max="464" style="14" width="13.290714285714287" customWidth="1" bestFit="1"/>
    <col min="465" max="465" style="14" width="13.290714285714287" customWidth="1" bestFit="1"/>
    <col min="466" max="466" style="14" width="13.290714285714287" customWidth="1" bestFit="1"/>
    <col min="467" max="467" style="14" width="13.290714285714287" customWidth="1" bestFit="1"/>
    <col min="468" max="468" style="14" width="13.290714285714287" customWidth="1" bestFit="1"/>
    <col min="469" max="469" style="14" width="13.290714285714287" customWidth="1" bestFit="1"/>
    <col min="470" max="470" style="14" width="13.290714285714287" customWidth="1" bestFit="1"/>
    <col min="471" max="471" style="14" width="13.290714285714287" customWidth="1" bestFit="1"/>
    <col min="472" max="472" style="14" width="13.290714285714287" customWidth="1" bestFit="1"/>
    <col min="473" max="473" style="14" width="13.290714285714287" customWidth="1" bestFit="1"/>
    <col min="474" max="474" style="14" width="13.290714285714287" customWidth="1" bestFit="1"/>
    <col min="475" max="475" style="14" width="13.290714285714287" customWidth="1" bestFit="1"/>
    <col min="476" max="476" style="14" width="13.290714285714287" customWidth="1" bestFit="1"/>
    <col min="477" max="477" style="14" width="13.290714285714287" customWidth="1" bestFit="1"/>
    <col min="478" max="478" style="14" width="13.290714285714287" customWidth="1" bestFit="1"/>
    <col min="479" max="479" style="14" width="13.290714285714287" customWidth="1" bestFit="1"/>
    <col min="480" max="480" style="14" width="13.290714285714287" customWidth="1" bestFit="1"/>
    <col min="481" max="481" style="14" width="13.290714285714287" customWidth="1" bestFit="1"/>
  </cols>
  <sheetData>
    <row x14ac:dyDescent="0.25" r="1" customHeight="1" ht="18" customFormat="1" s="8">
      <c r="A1" s="9" t="s">
        <v>0</v>
      </c>
      <c r="B1" s="10" t="s">
        <v>1</v>
      </c>
      <c r="C1" s="16" t="s">
        <v>2</v>
      </c>
      <c r="D1" s="10" t="s">
        <v>737</v>
      </c>
      <c r="E1" s="10" t="s">
        <v>738</v>
      </c>
      <c r="F1" s="10" t="s">
        <v>515</v>
      </c>
      <c r="G1" s="10" t="s">
        <v>516</v>
      </c>
      <c r="H1" s="10" t="s">
        <v>517</v>
      </c>
      <c r="I1" s="10" t="s">
        <v>518</v>
      </c>
      <c r="J1" s="10" t="s">
        <v>519</v>
      </c>
      <c r="K1" s="10" t="s">
        <v>173</v>
      </c>
      <c r="L1" s="10" t="s">
        <v>174</v>
      </c>
      <c r="M1" s="10" t="s">
        <v>175</v>
      </c>
      <c r="N1" s="10" t="s">
        <v>3</v>
      </c>
      <c r="O1" s="10" t="s">
        <v>739</v>
      </c>
      <c r="P1" s="10" t="s">
        <v>740</v>
      </c>
      <c r="Q1" s="10" t="s">
        <v>520</v>
      </c>
      <c r="R1" s="10" t="s">
        <v>521</v>
      </c>
      <c r="S1" s="10" t="s">
        <v>522</v>
      </c>
      <c r="T1" s="10" t="s">
        <v>523</v>
      </c>
      <c r="U1" s="10" t="s">
        <v>524</v>
      </c>
      <c r="V1" s="10" t="s">
        <v>179</v>
      </c>
      <c r="W1" s="10" t="s">
        <v>180</v>
      </c>
      <c r="X1" s="10" t="s">
        <v>181</v>
      </c>
      <c r="Y1" s="10" t="s">
        <v>4</v>
      </c>
      <c r="Z1" s="10" t="s">
        <v>5</v>
      </c>
      <c r="AA1" s="10" t="s">
        <v>6</v>
      </c>
      <c r="AB1" s="10" t="s">
        <v>7</v>
      </c>
      <c r="AC1" s="11" t="s">
        <v>8</v>
      </c>
      <c r="AD1" s="10" t="s">
        <v>741</v>
      </c>
      <c r="AE1" s="10" t="s">
        <v>742</v>
      </c>
      <c r="AF1" s="10" t="s">
        <v>525</v>
      </c>
      <c r="AG1" s="10" t="s">
        <v>526</v>
      </c>
      <c r="AH1" s="10" t="s">
        <v>527</v>
      </c>
      <c r="AI1" s="10" t="s">
        <v>528</v>
      </c>
      <c r="AJ1" s="10" t="s">
        <v>529</v>
      </c>
      <c r="AK1" s="10" t="s">
        <v>530</v>
      </c>
      <c r="AL1" s="10" t="s">
        <v>531</v>
      </c>
      <c r="AM1" s="10" t="s">
        <v>532</v>
      </c>
      <c r="AN1" s="10" t="s">
        <v>533</v>
      </c>
      <c r="AO1" s="10" t="s">
        <v>185</v>
      </c>
      <c r="AP1" s="10" t="s">
        <v>186</v>
      </c>
      <c r="AQ1" s="10" t="s">
        <v>187</v>
      </c>
      <c r="AR1" s="10" t="s">
        <v>9</v>
      </c>
      <c r="AS1" s="10" t="s">
        <v>743</v>
      </c>
      <c r="AT1" s="10" t="s">
        <v>744</v>
      </c>
      <c r="AU1" s="10" t="s">
        <v>534</v>
      </c>
      <c r="AV1" s="10" t="s">
        <v>535</v>
      </c>
      <c r="AW1" s="10" t="s">
        <v>536</v>
      </c>
      <c r="AX1" s="10" t="s">
        <v>537</v>
      </c>
      <c r="AY1" s="10" t="s">
        <v>538</v>
      </c>
      <c r="AZ1" s="10" t="s">
        <v>539</v>
      </c>
      <c r="BA1" s="10" t="s">
        <v>540</v>
      </c>
      <c r="BB1" s="10" t="s">
        <v>541</v>
      </c>
      <c r="BC1" s="10" t="s">
        <v>542</v>
      </c>
      <c r="BD1" s="10" t="s">
        <v>191</v>
      </c>
      <c r="BE1" s="10" t="s">
        <v>192</v>
      </c>
      <c r="BF1" s="10" t="s">
        <v>193</v>
      </c>
      <c r="BG1" s="10" t="s">
        <v>10</v>
      </c>
      <c r="BH1" s="10" t="s">
        <v>11</v>
      </c>
      <c r="BI1" s="10" t="s">
        <v>12</v>
      </c>
      <c r="BJ1" s="10" t="s">
        <v>13</v>
      </c>
      <c r="BK1" s="11" t="s">
        <v>14</v>
      </c>
      <c r="BL1" s="10" t="s">
        <v>745</v>
      </c>
      <c r="BM1" s="10" t="s">
        <v>543</v>
      </c>
      <c r="BN1" s="10" t="s">
        <v>544</v>
      </c>
      <c r="BO1" s="10" t="s">
        <v>545</v>
      </c>
      <c r="BP1" s="10" t="s">
        <v>546</v>
      </c>
      <c r="BQ1" s="10" t="s">
        <v>547</v>
      </c>
      <c r="BR1" s="10" t="s">
        <v>548</v>
      </c>
      <c r="BS1" s="10" t="s">
        <v>549</v>
      </c>
      <c r="BT1" s="10" t="s">
        <v>550</v>
      </c>
      <c r="BU1" s="10" t="s">
        <v>551</v>
      </c>
      <c r="BV1" s="10" t="s">
        <v>197</v>
      </c>
      <c r="BW1" s="10" t="s">
        <v>198</v>
      </c>
      <c r="BX1" s="10" t="s">
        <v>199</v>
      </c>
      <c r="BY1" s="10" t="s">
        <v>15</v>
      </c>
      <c r="BZ1" s="10" t="s">
        <v>746</v>
      </c>
      <c r="CA1" s="10" t="s">
        <v>552</v>
      </c>
      <c r="CB1" s="10" t="s">
        <v>553</v>
      </c>
      <c r="CC1" s="10" t="s">
        <v>554</v>
      </c>
      <c r="CD1" s="10" t="s">
        <v>555</v>
      </c>
      <c r="CE1" s="10" t="s">
        <v>556</v>
      </c>
      <c r="CF1" s="10" t="s">
        <v>557</v>
      </c>
      <c r="CG1" s="10" t="s">
        <v>558</v>
      </c>
      <c r="CH1" s="10" t="s">
        <v>559</v>
      </c>
      <c r="CI1" s="10" t="s">
        <v>560</v>
      </c>
      <c r="CJ1" s="10" t="s">
        <v>203</v>
      </c>
      <c r="CK1" s="10" t="s">
        <v>204</v>
      </c>
      <c r="CL1" s="10" t="s">
        <v>205</v>
      </c>
      <c r="CM1" s="10" t="s">
        <v>16</v>
      </c>
      <c r="CN1" s="10" t="s">
        <v>17</v>
      </c>
      <c r="CO1" s="10" t="s">
        <v>18</v>
      </c>
      <c r="CP1" s="10" t="s">
        <v>19</v>
      </c>
      <c r="CQ1" s="11" t="s">
        <v>20</v>
      </c>
      <c r="CR1" s="10" t="s">
        <v>747</v>
      </c>
      <c r="CS1" s="10" t="s">
        <v>748</v>
      </c>
      <c r="CT1" s="10" t="s">
        <v>561</v>
      </c>
      <c r="CU1" s="10" t="s">
        <v>562</v>
      </c>
      <c r="CV1" s="10" t="s">
        <v>563</v>
      </c>
      <c r="CW1" s="10" t="s">
        <v>564</v>
      </c>
      <c r="CX1" s="10" t="s">
        <v>565</v>
      </c>
      <c r="CY1" s="10" t="s">
        <v>355</v>
      </c>
      <c r="CZ1" s="10" t="s">
        <v>358</v>
      </c>
      <c r="DA1" s="10" t="s">
        <v>566</v>
      </c>
      <c r="DB1" s="10" t="s">
        <v>567</v>
      </c>
      <c r="DC1" s="10" t="s">
        <v>568</v>
      </c>
      <c r="DD1" s="10" t="s">
        <v>569</v>
      </c>
      <c r="DE1" s="10" t="s">
        <v>356</v>
      </c>
      <c r="DF1" s="10" t="s">
        <v>570</v>
      </c>
      <c r="DG1" s="10" t="s">
        <v>209</v>
      </c>
      <c r="DH1" s="10" t="s">
        <v>210</v>
      </c>
      <c r="DI1" s="10" t="s">
        <v>211</v>
      </c>
      <c r="DJ1" s="10" t="s">
        <v>21</v>
      </c>
      <c r="DK1" s="10" t="s">
        <v>749</v>
      </c>
      <c r="DL1" s="10" t="s">
        <v>572</v>
      </c>
      <c r="DM1" s="10" t="s">
        <v>573</v>
      </c>
      <c r="DN1" s="10" t="s">
        <v>22</v>
      </c>
      <c r="DO1" s="10" t="s">
        <v>23</v>
      </c>
      <c r="DP1" s="10" t="s">
        <v>357</v>
      </c>
      <c r="DQ1" s="10" t="s">
        <v>750</v>
      </c>
      <c r="DR1" s="10" t="s">
        <v>751</v>
      </c>
      <c r="DS1" s="10" t="s">
        <v>574</v>
      </c>
      <c r="DT1" s="10" t="s">
        <v>575</v>
      </c>
      <c r="DU1" s="10" t="s">
        <v>576</v>
      </c>
      <c r="DV1" s="10" t="s">
        <v>577</v>
      </c>
      <c r="DW1" s="10" t="s">
        <v>578</v>
      </c>
      <c r="DX1" s="10" t="s">
        <v>359</v>
      </c>
      <c r="DY1" s="10" t="s">
        <v>362</v>
      </c>
      <c r="DZ1" s="10" t="s">
        <v>579</v>
      </c>
      <c r="EA1" s="10" t="s">
        <v>580</v>
      </c>
      <c r="EB1" s="10" t="s">
        <v>581</v>
      </c>
      <c r="EC1" s="10" t="s">
        <v>582</v>
      </c>
      <c r="ED1" s="10" t="s">
        <v>360</v>
      </c>
      <c r="EE1" s="10" t="s">
        <v>583</v>
      </c>
      <c r="EF1" s="10" t="s">
        <v>215</v>
      </c>
      <c r="EG1" s="10" t="s">
        <v>216</v>
      </c>
      <c r="EH1" s="10" t="s">
        <v>217</v>
      </c>
      <c r="EI1" s="10" t="s">
        <v>24</v>
      </c>
      <c r="EJ1" s="10" t="s">
        <v>752</v>
      </c>
      <c r="EK1" s="10" t="s">
        <v>585</v>
      </c>
      <c r="EL1" s="10" t="s">
        <v>586</v>
      </c>
      <c r="EM1" s="10" t="s">
        <v>25</v>
      </c>
      <c r="EN1" s="10" t="s">
        <v>26</v>
      </c>
      <c r="EO1" s="10" t="s">
        <v>361</v>
      </c>
      <c r="EP1" s="10" t="s">
        <v>27</v>
      </c>
      <c r="EQ1" s="10" t="s">
        <v>28</v>
      </c>
      <c r="ER1" s="10" t="s">
        <v>29</v>
      </c>
      <c r="ES1" s="11" t="s">
        <v>30</v>
      </c>
      <c r="ET1" s="10" t="s">
        <v>753</v>
      </c>
      <c r="EU1" s="10" t="s">
        <v>754</v>
      </c>
      <c r="EV1" s="10" t="s">
        <v>587</v>
      </c>
      <c r="EW1" s="10" t="s">
        <v>588</v>
      </c>
      <c r="EX1" s="10" t="s">
        <v>589</v>
      </c>
      <c r="EY1" s="10" t="s">
        <v>590</v>
      </c>
      <c r="EZ1" s="10" t="s">
        <v>591</v>
      </c>
      <c r="FA1" s="10" t="s">
        <v>363</v>
      </c>
      <c r="FB1" s="10" t="s">
        <v>367</v>
      </c>
      <c r="FC1" s="10" t="s">
        <v>592</v>
      </c>
      <c r="FD1" s="10" t="s">
        <v>593</v>
      </c>
      <c r="FE1" s="10" t="s">
        <v>594</v>
      </c>
      <c r="FF1" s="10" t="s">
        <v>595</v>
      </c>
      <c r="FG1" s="10" t="s">
        <v>365</v>
      </c>
      <c r="FH1" s="10" t="s">
        <v>596</v>
      </c>
      <c r="FI1" s="10" t="s">
        <v>221</v>
      </c>
      <c r="FJ1" s="10" t="s">
        <v>222</v>
      </c>
      <c r="FK1" s="10" t="s">
        <v>223</v>
      </c>
      <c r="FL1" s="10" t="s">
        <v>31</v>
      </c>
      <c r="FM1" s="10" t="s">
        <v>755</v>
      </c>
      <c r="FN1" s="10" t="s">
        <v>598</v>
      </c>
      <c r="FO1" s="10" t="s">
        <v>599</v>
      </c>
      <c r="FP1" s="10" t="s">
        <v>364</v>
      </c>
      <c r="FQ1" s="10" t="s">
        <v>368</v>
      </c>
      <c r="FR1" s="10" t="s">
        <v>32</v>
      </c>
      <c r="FS1" s="10" t="s">
        <v>33</v>
      </c>
      <c r="FT1" s="10" t="s">
        <v>366</v>
      </c>
      <c r="FU1" s="10" t="s">
        <v>756</v>
      </c>
      <c r="FV1" s="10" t="s">
        <v>757</v>
      </c>
      <c r="FW1" s="10" t="s">
        <v>600</v>
      </c>
      <c r="FX1" s="10" t="s">
        <v>601</v>
      </c>
      <c r="FY1" s="10" t="s">
        <v>602</v>
      </c>
      <c r="FZ1" s="10" t="s">
        <v>603</v>
      </c>
      <c r="GA1" s="10" t="s">
        <v>604</v>
      </c>
      <c r="GB1" s="10" t="s">
        <v>369</v>
      </c>
      <c r="GC1" s="10" t="s">
        <v>373</v>
      </c>
      <c r="GD1" s="10" t="s">
        <v>605</v>
      </c>
      <c r="GE1" s="10" t="s">
        <v>606</v>
      </c>
      <c r="GF1" s="10" t="s">
        <v>607</v>
      </c>
      <c r="GG1" s="10" t="s">
        <v>608</v>
      </c>
      <c r="GH1" s="10" t="s">
        <v>371</v>
      </c>
      <c r="GI1" s="10" t="s">
        <v>609</v>
      </c>
      <c r="GJ1" s="10" t="s">
        <v>227</v>
      </c>
      <c r="GK1" s="10" t="s">
        <v>228</v>
      </c>
      <c r="GL1" s="10" t="s">
        <v>229</v>
      </c>
      <c r="GM1" s="10" t="s">
        <v>34</v>
      </c>
      <c r="GN1" s="10" t="s">
        <v>758</v>
      </c>
      <c r="GO1" s="10" t="s">
        <v>611</v>
      </c>
      <c r="GP1" s="10" t="s">
        <v>612</v>
      </c>
      <c r="GQ1" s="10" t="s">
        <v>370</v>
      </c>
      <c r="GR1" s="10" t="s">
        <v>374</v>
      </c>
      <c r="GS1" s="10" t="s">
        <v>35</v>
      </c>
      <c r="GT1" s="10" t="s">
        <v>36</v>
      </c>
      <c r="GU1" s="10" t="s">
        <v>372</v>
      </c>
      <c r="GV1" s="10" t="s">
        <v>37</v>
      </c>
      <c r="GW1" s="10" t="s">
        <v>38</v>
      </c>
      <c r="GX1" s="10" t="s">
        <v>39</v>
      </c>
      <c r="GY1" s="11" t="s">
        <v>40</v>
      </c>
      <c r="GZ1" s="10" t="s">
        <v>759</v>
      </c>
      <c r="HA1" s="10" t="s">
        <v>760</v>
      </c>
      <c r="HB1" s="10" t="s">
        <v>375</v>
      </c>
      <c r="HC1" s="10" t="s">
        <v>613</v>
      </c>
      <c r="HD1" s="10" t="s">
        <v>614</v>
      </c>
      <c r="HE1" s="10" t="s">
        <v>615</v>
      </c>
      <c r="HF1" s="10" t="s">
        <v>616</v>
      </c>
      <c r="HG1" s="10" t="s">
        <v>617</v>
      </c>
      <c r="HH1" s="10" t="s">
        <v>376</v>
      </c>
      <c r="HI1" s="10" t="s">
        <v>381</v>
      </c>
      <c r="HJ1" s="10" t="s">
        <v>618</v>
      </c>
      <c r="HK1" s="10" t="s">
        <v>619</v>
      </c>
      <c r="HL1" s="10" t="s">
        <v>620</v>
      </c>
      <c r="HM1" s="10" t="s">
        <v>621</v>
      </c>
      <c r="HN1" s="10" t="s">
        <v>378</v>
      </c>
      <c r="HO1" s="10" t="s">
        <v>622</v>
      </c>
      <c r="HP1" s="10" t="s">
        <v>233</v>
      </c>
      <c r="HQ1" s="10" t="s">
        <v>234</v>
      </c>
      <c r="HR1" s="10" t="s">
        <v>235</v>
      </c>
      <c r="HS1" s="10" t="s">
        <v>41</v>
      </c>
      <c r="HT1" s="10" t="s">
        <v>761</v>
      </c>
      <c r="HU1" s="10" t="s">
        <v>624</v>
      </c>
      <c r="HV1" s="10" t="s">
        <v>625</v>
      </c>
      <c r="HW1" s="10" t="s">
        <v>377</v>
      </c>
      <c r="HX1" s="10" t="s">
        <v>382</v>
      </c>
      <c r="HY1" s="10" t="s">
        <v>380</v>
      </c>
      <c r="HZ1" s="10" t="s">
        <v>42</v>
      </c>
      <c r="IA1" s="10" t="s">
        <v>43</v>
      </c>
      <c r="IB1" s="10" t="s">
        <v>379</v>
      </c>
      <c r="IC1" s="10" t="s">
        <v>383</v>
      </c>
      <c r="ID1" s="10" t="s">
        <v>762</v>
      </c>
      <c r="IE1" s="10" t="s">
        <v>763</v>
      </c>
      <c r="IF1" s="10" t="s">
        <v>384</v>
      </c>
      <c r="IG1" s="10" t="s">
        <v>626</v>
      </c>
      <c r="IH1" s="10" t="s">
        <v>627</v>
      </c>
      <c r="II1" s="10" t="s">
        <v>628</v>
      </c>
      <c r="IJ1" s="10" t="s">
        <v>629</v>
      </c>
      <c r="IK1" s="10" t="s">
        <v>630</v>
      </c>
      <c r="IL1" s="10" t="s">
        <v>385</v>
      </c>
      <c r="IM1" s="10" t="s">
        <v>390</v>
      </c>
      <c r="IN1" s="10" t="s">
        <v>631</v>
      </c>
      <c r="IO1" s="10" t="s">
        <v>632</v>
      </c>
      <c r="IP1" s="10" t="s">
        <v>633</v>
      </c>
      <c r="IQ1" s="10" t="s">
        <v>634</v>
      </c>
      <c r="IR1" s="10" t="s">
        <v>387</v>
      </c>
      <c r="IS1" s="10" t="s">
        <v>635</v>
      </c>
      <c r="IT1" s="10" t="s">
        <v>239</v>
      </c>
      <c r="IU1" s="10" t="s">
        <v>240</v>
      </c>
      <c r="IV1" s="10" t="s">
        <v>241</v>
      </c>
      <c r="IW1" s="10" t="s">
        <v>44</v>
      </c>
      <c r="IX1" s="10" t="s">
        <v>764</v>
      </c>
      <c r="IY1" s="10" t="s">
        <v>637</v>
      </c>
      <c r="IZ1" s="10" t="s">
        <v>638</v>
      </c>
      <c r="JA1" s="10" t="s">
        <v>386</v>
      </c>
      <c r="JB1" s="10" t="s">
        <v>391</v>
      </c>
      <c r="JC1" s="10" t="s">
        <v>389</v>
      </c>
      <c r="JD1" s="10" t="s">
        <v>45</v>
      </c>
      <c r="JE1" s="10" t="s">
        <v>46</v>
      </c>
      <c r="JF1" s="10" t="s">
        <v>388</v>
      </c>
      <c r="JG1" s="10" t="s">
        <v>392</v>
      </c>
      <c r="JH1" s="10" t="s">
        <v>47</v>
      </c>
      <c r="JI1" s="10" t="s">
        <v>48</v>
      </c>
      <c r="JJ1" s="10" t="s">
        <v>49</v>
      </c>
      <c r="JK1" s="11" t="s">
        <v>50</v>
      </c>
      <c r="JL1" s="10" t="s">
        <v>765</v>
      </c>
      <c r="JM1" s="10" t="s">
        <v>766</v>
      </c>
      <c r="JN1" s="10" t="s">
        <v>393</v>
      </c>
      <c r="JO1" s="10" t="s">
        <v>639</v>
      </c>
      <c r="JP1" s="10" t="s">
        <v>640</v>
      </c>
      <c r="JQ1" s="10" t="s">
        <v>641</v>
      </c>
      <c r="JR1" s="10" t="s">
        <v>642</v>
      </c>
      <c r="JS1" s="10" t="s">
        <v>643</v>
      </c>
      <c r="JT1" s="10" t="s">
        <v>644</v>
      </c>
      <c r="JU1" s="10" t="s">
        <v>645</v>
      </c>
      <c r="JV1" s="10" t="s">
        <v>646</v>
      </c>
      <c r="JW1" s="10" t="s">
        <v>395</v>
      </c>
      <c r="JX1" s="10" t="s">
        <v>245</v>
      </c>
      <c r="JY1" s="10" t="s">
        <v>246</v>
      </c>
      <c r="JZ1" s="10" t="s">
        <v>247</v>
      </c>
      <c r="KA1" s="10" t="s">
        <v>51</v>
      </c>
      <c r="KB1" s="10" t="s">
        <v>647</v>
      </c>
      <c r="KC1" s="10" t="s">
        <v>648</v>
      </c>
      <c r="KD1" s="10" t="s">
        <v>394</v>
      </c>
      <c r="KE1" s="10" t="s">
        <v>397</v>
      </c>
      <c r="KF1" s="10" t="s">
        <v>396</v>
      </c>
      <c r="KG1" s="10" t="s">
        <v>52</v>
      </c>
      <c r="KH1" s="10" t="s">
        <v>53</v>
      </c>
      <c r="KI1" s="10" t="s">
        <v>398</v>
      </c>
      <c r="KJ1" s="10" t="s">
        <v>767</v>
      </c>
      <c r="KK1" s="10" t="s">
        <v>768</v>
      </c>
      <c r="KL1" s="10" t="s">
        <v>399</v>
      </c>
      <c r="KM1" s="10" t="s">
        <v>649</v>
      </c>
      <c r="KN1" s="10" t="s">
        <v>650</v>
      </c>
      <c r="KO1" s="10" t="s">
        <v>651</v>
      </c>
      <c r="KP1" s="10" t="s">
        <v>652</v>
      </c>
      <c r="KQ1" s="10" t="s">
        <v>653</v>
      </c>
      <c r="KR1" s="10" t="s">
        <v>654</v>
      </c>
      <c r="KS1" s="10" t="s">
        <v>655</v>
      </c>
      <c r="KT1" s="10" t="s">
        <v>656</v>
      </c>
      <c r="KU1" s="10" t="s">
        <v>401</v>
      </c>
      <c r="KV1" s="10" t="s">
        <v>251</v>
      </c>
      <c r="KW1" s="10" t="s">
        <v>252</v>
      </c>
      <c r="KX1" s="10" t="s">
        <v>253</v>
      </c>
      <c r="KY1" s="10" t="s">
        <v>54</v>
      </c>
      <c r="KZ1" s="10" t="s">
        <v>657</v>
      </c>
      <c r="LA1" s="10" t="s">
        <v>658</v>
      </c>
      <c r="LB1" s="10" t="s">
        <v>400</v>
      </c>
      <c r="LC1" s="10" t="s">
        <v>403</v>
      </c>
      <c r="LD1" s="10" t="s">
        <v>402</v>
      </c>
      <c r="LE1" s="10" t="s">
        <v>55</v>
      </c>
      <c r="LF1" s="10" t="s">
        <v>56</v>
      </c>
      <c r="LG1" s="10" t="s">
        <v>404</v>
      </c>
      <c r="LH1" s="10" t="s">
        <v>57</v>
      </c>
      <c r="LI1" s="10" t="s">
        <v>58</v>
      </c>
      <c r="LJ1" s="10" t="s">
        <v>59</v>
      </c>
      <c r="LK1" s="11" t="s">
        <v>60</v>
      </c>
      <c r="LL1" s="10" t="s">
        <v>405</v>
      </c>
      <c r="LM1" s="10" t="s">
        <v>659</v>
      </c>
      <c r="LN1" s="10" t="s">
        <v>660</v>
      </c>
      <c r="LO1" s="10" t="s">
        <v>661</v>
      </c>
      <c r="LP1" s="10" t="s">
        <v>662</v>
      </c>
      <c r="LQ1" s="10" t="s">
        <v>663</v>
      </c>
      <c r="LR1" s="10" t="s">
        <v>664</v>
      </c>
      <c r="LS1" s="10" t="s">
        <v>665</v>
      </c>
      <c r="LT1" s="10" t="s">
        <v>666</v>
      </c>
      <c r="LU1" s="10" t="s">
        <v>407</v>
      </c>
      <c r="LV1" s="10" t="s">
        <v>256</v>
      </c>
      <c r="LW1" s="10" t="s">
        <v>257</v>
      </c>
      <c r="LX1" s="10" t="s">
        <v>61</v>
      </c>
      <c r="LY1" s="10" t="s">
        <v>667</v>
      </c>
      <c r="LZ1" s="10" t="s">
        <v>668</v>
      </c>
      <c r="MA1" s="10" t="s">
        <v>406</v>
      </c>
      <c r="MB1" s="10" t="s">
        <v>409</v>
      </c>
      <c r="MC1" s="10" t="s">
        <v>408</v>
      </c>
      <c r="MD1" s="10" t="s">
        <v>62</v>
      </c>
      <c r="ME1" s="10" t="s">
        <v>63</v>
      </c>
      <c r="MF1" s="10" t="s">
        <v>410</v>
      </c>
      <c r="MG1" s="10" t="s">
        <v>411</v>
      </c>
      <c r="MH1" s="10" t="s">
        <v>412</v>
      </c>
      <c r="MI1" s="10" t="s">
        <v>669</v>
      </c>
      <c r="MJ1" s="10" t="s">
        <v>670</v>
      </c>
      <c r="MK1" s="10" t="s">
        <v>671</v>
      </c>
      <c r="ML1" s="10" t="s">
        <v>672</v>
      </c>
      <c r="MM1" s="10" t="s">
        <v>673</v>
      </c>
      <c r="MN1" s="10" t="s">
        <v>674</v>
      </c>
      <c r="MO1" s="10" t="s">
        <v>675</v>
      </c>
      <c r="MP1" s="10" t="s">
        <v>676</v>
      </c>
      <c r="MQ1" s="10" t="s">
        <v>414</v>
      </c>
      <c r="MR1" s="10" t="s">
        <v>260</v>
      </c>
      <c r="MS1" s="10" t="s">
        <v>261</v>
      </c>
      <c r="MT1" s="10" t="s">
        <v>64</v>
      </c>
      <c r="MU1" s="10" t="s">
        <v>677</v>
      </c>
      <c r="MV1" s="10" t="s">
        <v>678</v>
      </c>
      <c r="MW1" s="10" t="s">
        <v>413</v>
      </c>
      <c r="MX1" s="10" t="s">
        <v>416</v>
      </c>
      <c r="MY1" s="10" t="s">
        <v>415</v>
      </c>
      <c r="MZ1" s="10" t="s">
        <v>65</v>
      </c>
      <c r="NA1" s="10" t="s">
        <v>66</v>
      </c>
      <c r="NB1" s="10" t="s">
        <v>417</v>
      </c>
      <c r="NC1" s="10" t="s">
        <v>418</v>
      </c>
      <c r="ND1" s="10" t="s">
        <v>67</v>
      </c>
      <c r="NE1" s="10" t="s">
        <v>68</v>
      </c>
      <c r="NF1" s="10" t="s">
        <v>69</v>
      </c>
      <c r="NG1" s="11" t="s">
        <v>70</v>
      </c>
      <c r="NH1" s="10" t="s">
        <v>419</v>
      </c>
      <c r="NI1" s="10" t="s">
        <v>679</v>
      </c>
      <c r="NJ1" s="10" t="s">
        <v>680</v>
      </c>
      <c r="NK1" s="10" t="s">
        <v>681</v>
      </c>
      <c r="NL1" s="10" t="s">
        <v>682</v>
      </c>
      <c r="NM1" s="10" t="s">
        <v>683</v>
      </c>
      <c r="NN1" s="10" t="s">
        <v>684</v>
      </c>
      <c r="NO1" s="10" t="s">
        <v>685</v>
      </c>
      <c r="NP1" s="10" t="s">
        <v>421</v>
      </c>
      <c r="NQ1" s="10" t="s">
        <v>264</v>
      </c>
      <c r="NR1" s="10" t="s">
        <v>265</v>
      </c>
      <c r="NS1" s="10" t="s">
        <v>71</v>
      </c>
      <c r="NT1" s="10" t="s">
        <v>686</v>
      </c>
      <c r="NU1" s="10" t="s">
        <v>687</v>
      </c>
      <c r="NV1" s="10" t="s">
        <v>420</v>
      </c>
      <c r="NW1" s="10" t="s">
        <v>423</v>
      </c>
      <c r="NX1" s="10" t="s">
        <v>422</v>
      </c>
      <c r="NY1" s="10" t="s">
        <v>72</v>
      </c>
      <c r="NZ1" s="10" t="s">
        <v>73</v>
      </c>
      <c r="OA1" s="10" t="s">
        <v>424</v>
      </c>
      <c r="OB1" s="10" t="s">
        <v>425</v>
      </c>
      <c r="OC1" s="10" t="s">
        <v>426</v>
      </c>
      <c r="OD1" s="10" t="s">
        <v>688</v>
      </c>
      <c r="OE1" s="10" t="s">
        <v>689</v>
      </c>
      <c r="OF1" s="10" t="s">
        <v>690</v>
      </c>
      <c r="OG1" s="10" t="s">
        <v>691</v>
      </c>
      <c r="OH1" s="10" t="s">
        <v>692</v>
      </c>
      <c r="OI1" s="10" t="s">
        <v>693</v>
      </c>
      <c r="OJ1" s="10" t="s">
        <v>694</v>
      </c>
      <c r="OK1" s="10" t="s">
        <v>428</v>
      </c>
      <c r="OL1" s="10" t="s">
        <v>268</v>
      </c>
      <c r="OM1" s="10" t="s">
        <v>269</v>
      </c>
      <c r="ON1" s="10" t="s">
        <v>74</v>
      </c>
      <c r="OO1" s="10" t="s">
        <v>695</v>
      </c>
      <c r="OP1" s="10" t="s">
        <v>696</v>
      </c>
      <c r="OQ1" s="10" t="s">
        <v>427</v>
      </c>
      <c r="OR1" s="10" t="s">
        <v>430</v>
      </c>
      <c r="OS1" s="10" t="s">
        <v>429</v>
      </c>
      <c r="OT1" s="10" t="s">
        <v>75</v>
      </c>
      <c r="OU1" s="10" t="s">
        <v>76</v>
      </c>
      <c r="OV1" s="10" t="s">
        <v>431</v>
      </c>
      <c r="OW1" s="10" t="s">
        <v>432</v>
      </c>
      <c r="OX1" s="10" t="s">
        <v>77</v>
      </c>
      <c r="OY1" s="10" t="s">
        <v>78</v>
      </c>
      <c r="OZ1" s="10" t="s">
        <v>79</v>
      </c>
      <c r="PA1" s="11" t="s">
        <v>80</v>
      </c>
      <c r="PB1" s="10" t="s">
        <v>433</v>
      </c>
      <c r="PC1" s="10" t="s">
        <v>697</v>
      </c>
      <c r="PD1" s="10" t="s">
        <v>698</v>
      </c>
      <c r="PE1" s="10" t="s">
        <v>699</v>
      </c>
      <c r="PF1" s="10" t="s">
        <v>700</v>
      </c>
      <c r="PG1" s="10" t="s">
        <v>435</v>
      </c>
      <c r="PH1" s="10" t="s">
        <v>272</v>
      </c>
      <c r="PI1" s="10" t="s">
        <v>273</v>
      </c>
      <c r="PJ1" s="10" t="s">
        <v>81</v>
      </c>
      <c r="PK1" s="10" t="s">
        <v>434</v>
      </c>
      <c r="PL1" s="10" t="s">
        <v>437</v>
      </c>
      <c r="PM1" s="10" t="s">
        <v>436</v>
      </c>
      <c r="PN1" s="10" t="s">
        <v>82</v>
      </c>
      <c r="PO1" s="10" t="s">
        <v>83</v>
      </c>
      <c r="PP1" s="10" t="s">
        <v>438</v>
      </c>
      <c r="PQ1" s="10" t="s">
        <v>439</v>
      </c>
      <c r="PR1" s="10" t="s">
        <v>440</v>
      </c>
      <c r="PS1" s="10" t="s">
        <v>701</v>
      </c>
      <c r="PT1" s="10" t="s">
        <v>702</v>
      </c>
      <c r="PU1" s="10" t="s">
        <v>703</v>
      </c>
      <c r="PV1" s="10" t="s">
        <v>704</v>
      </c>
      <c r="PW1" s="10" t="s">
        <v>442</v>
      </c>
      <c r="PX1" s="10" t="s">
        <v>276</v>
      </c>
      <c r="PY1" s="10" t="s">
        <v>277</v>
      </c>
      <c r="PZ1" s="10" t="s">
        <v>84</v>
      </c>
      <c r="QA1" s="10" t="s">
        <v>441</v>
      </c>
      <c r="QB1" s="10" t="s">
        <v>444</v>
      </c>
      <c r="QC1" s="10" t="s">
        <v>443</v>
      </c>
      <c r="QD1" s="10" t="s">
        <v>85</v>
      </c>
      <c r="QE1" s="10" t="s">
        <v>86</v>
      </c>
      <c r="QF1" s="10" t="s">
        <v>445</v>
      </c>
      <c r="QG1" s="10" t="s">
        <v>446</v>
      </c>
      <c r="QH1" s="10" t="s">
        <v>87</v>
      </c>
      <c r="QI1" s="10" t="s">
        <v>88</v>
      </c>
      <c r="QJ1" s="10" t="s">
        <v>89</v>
      </c>
      <c r="QK1" s="11" t="s">
        <v>90</v>
      </c>
      <c r="QL1" s="10" t="s">
        <v>447</v>
      </c>
      <c r="QM1" s="10" t="s">
        <v>705</v>
      </c>
      <c r="QN1" s="10" t="s">
        <v>449</v>
      </c>
      <c r="QO1" s="10" t="s">
        <v>279</v>
      </c>
      <c r="QP1" s="10" t="s">
        <v>280</v>
      </c>
      <c r="QQ1" s="10" t="s">
        <v>91</v>
      </c>
      <c r="QR1" s="10" t="s">
        <v>448</v>
      </c>
      <c r="QS1" s="10" t="s">
        <v>451</v>
      </c>
      <c r="QT1" s="10" t="s">
        <v>450</v>
      </c>
      <c r="QU1" s="10" t="s">
        <v>92</v>
      </c>
      <c r="QV1" s="10" t="s">
        <v>93</v>
      </c>
      <c r="QW1" s="10" t="s">
        <v>452</v>
      </c>
      <c r="QX1" s="10" t="s">
        <v>453</v>
      </c>
      <c r="QY1" s="10" t="s">
        <v>454</v>
      </c>
      <c r="QZ1" s="10" t="s">
        <v>706</v>
      </c>
      <c r="RA1" s="10" t="s">
        <v>456</v>
      </c>
      <c r="RB1" s="10" t="s">
        <v>282</v>
      </c>
      <c r="RC1" s="10" t="s">
        <v>283</v>
      </c>
      <c r="RD1" s="10" t="s">
        <v>94</v>
      </c>
      <c r="RE1" s="10" t="s">
        <v>455</v>
      </c>
      <c r="RF1" s="10" t="s">
        <v>458</v>
      </c>
      <c r="RG1" s="10" t="s">
        <v>457</v>
      </c>
      <c r="RH1" s="10" t="s">
        <v>95</v>
      </c>
      <c r="RI1" s="10" t="s">
        <v>96</v>
      </c>
      <c r="RJ1" s="10" t="s">
        <v>459</v>
      </c>
      <c r="RK1" s="10" t="s">
        <v>460</v>
      </c>
      <c r="RL1" s="10" t="s">
        <v>97</v>
      </c>
      <c r="RM1" s="10" t="s">
        <v>98</v>
      </c>
    </row>
    <row x14ac:dyDescent="0.25" r="2" customHeight="1" ht="18" customFormat="1" s="8">
      <c r="A2" s="9" t="s">
        <v>769</v>
      </c>
      <c r="B2" s="12">
        <v>31660</v>
      </c>
      <c r="C2" s="16" t="s">
        <v>770</v>
      </c>
      <c r="D2" s="12">
        <v>0</v>
      </c>
      <c r="E2" s="12">
        <v>0</v>
      </c>
      <c r="F2" s="12">
        <v>38640</v>
      </c>
      <c r="G2" s="12">
        <v>3360</v>
      </c>
      <c r="H2" s="12">
        <v>47040</v>
      </c>
      <c r="I2" s="12">
        <v>2160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2194752</v>
      </c>
      <c r="R2" s="12">
        <v>312782</v>
      </c>
      <c r="S2" s="12">
        <v>3763200</v>
      </c>
      <c r="T2" s="12">
        <v>187920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91200</v>
      </c>
      <c r="AA2" s="12">
        <v>6458654</v>
      </c>
      <c r="AB2" s="12">
        <v>41278</v>
      </c>
      <c r="AC2" s="11" t="s">
        <v>771</v>
      </c>
      <c r="AD2" s="12">
        <v>0</v>
      </c>
      <c r="AE2" s="12">
        <v>0</v>
      </c>
      <c r="AF2" s="12">
        <v>39600</v>
      </c>
      <c r="AG2" s="12">
        <v>7920</v>
      </c>
      <c r="AH2" s="12">
        <v>240</v>
      </c>
      <c r="AI2" s="12">
        <v>64320</v>
      </c>
      <c r="AJ2" s="12">
        <v>3120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2249280</v>
      </c>
      <c r="AV2" s="12">
        <v>737272</v>
      </c>
      <c r="AW2" s="12">
        <v>17040</v>
      </c>
      <c r="AX2" s="12">
        <v>5145600</v>
      </c>
      <c r="AY2" s="12">
        <v>271440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115200</v>
      </c>
      <c r="BI2" s="12">
        <v>8420632</v>
      </c>
      <c r="BJ2" s="12">
        <v>22841</v>
      </c>
      <c r="BK2" s="11" t="s">
        <v>772</v>
      </c>
      <c r="BL2" s="12">
        <v>0</v>
      </c>
      <c r="BM2" s="12">
        <v>24960</v>
      </c>
      <c r="BN2" s="12">
        <v>4080</v>
      </c>
      <c r="BO2" s="12">
        <v>240</v>
      </c>
      <c r="BP2" s="12">
        <v>35040</v>
      </c>
      <c r="BQ2" s="12">
        <v>480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0</v>
      </c>
      <c r="BZ2" s="12">
        <v>0</v>
      </c>
      <c r="CA2" s="12">
        <v>1417728</v>
      </c>
      <c r="CB2" s="12">
        <v>379807</v>
      </c>
      <c r="CC2" s="12">
        <v>17040</v>
      </c>
      <c r="CD2" s="12">
        <v>2803200</v>
      </c>
      <c r="CE2" s="12">
        <v>41760</v>
      </c>
      <c r="CF2" s="12">
        <v>0</v>
      </c>
      <c r="CG2" s="12">
        <v>0</v>
      </c>
      <c r="CH2" s="12">
        <v>0</v>
      </c>
      <c r="CI2" s="12">
        <v>0</v>
      </c>
      <c r="CJ2" s="12">
        <v>0</v>
      </c>
      <c r="CK2" s="12">
        <v>0</v>
      </c>
      <c r="CL2" s="12">
        <v>0</v>
      </c>
      <c r="CM2" s="12">
        <v>0</v>
      </c>
      <c r="CN2" s="12">
        <v>64800</v>
      </c>
      <c r="CO2" s="12">
        <v>4659535</v>
      </c>
      <c r="CP2" s="12">
        <v>47814</v>
      </c>
      <c r="CQ2" s="11" t="s">
        <v>773</v>
      </c>
      <c r="CR2" s="12">
        <v>0</v>
      </c>
      <c r="CS2" s="12">
        <v>0</v>
      </c>
      <c r="CT2" s="12">
        <v>50400</v>
      </c>
      <c r="CU2" s="12">
        <v>9840</v>
      </c>
      <c r="CV2" s="12">
        <v>480</v>
      </c>
      <c r="CW2" s="12">
        <v>72960</v>
      </c>
      <c r="CX2" s="12">
        <v>1200</v>
      </c>
      <c r="CY2" s="12">
        <v>0</v>
      </c>
      <c r="CZ2" s="12">
        <v>0</v>
      </c>
      <c r="DA2" s="12">
        <v>0</v>
      </c>
      <c r="DB2" s="12">
        <v>0</v>
      </c>
      <c r="DC2" s="12">
        <v>0</v>
      </c>
      <c r="DD2" s="12">
        <v>0</v>
      </c>
      <c r="DE2" s="12">
        <v>0</v>
      </c>
      <c r="DF2" s="12">
        <v>0</v>
      </c>
      <c r="DG2" s="12">
        <v>0</v>
      </c>
      <c r="DH2" s="12">
        <v>0</v>
      </c>
      <c r="DI2" s="12">
        <v>0</v>
      </c>
      <c r="DJ2" s="12">
        <v>0</v>
      </c>
      <c r="DK2" s="12">
        <v>0</v>
      </c>
      <c r="DL2" s="12">
        <v>0</v>
      </c>
      <c r="DM2" s="12">
        <v>0</v>
      </c>
      <c r="DN2" s="12">
        <v>0</v>
      </c>
      <c r="DO2" s="12">
        <v>0</v>
      </c>
      <c r="DP2" s="12">
        <v>0</v>
      </c>
      <c r="DQ2" s="12">
        <v>0</v>
      </c>
      <c r="DR2" s="12">
        <v>0</v>
      </c>
      <c r="DS2" s="12">
        <v>2862720</v>
      </c>
      <c r="DT2" s="12">
        <v>916005</v>
      </c>
      <c r="DU2" s="12">
        <v>34080</v>
      </c>
      <c r="DV2" s="12">
        <v>5836800</v>
      </c>
      <c r="DW2" s="12">
        <v>104400</v>
      </c>
      <c r="DX2" s="12">
        <v>0</v>
      </c>
      <c r="DY2" s="12">
        <v>0</v>
      </c>
      <c r="DZ2" s="12">
        <v>0</v>
      </c>
      <c r="EA2" s="12">
        <v>0</v>
      </c>
      <c r="EB2" s="12">
        <v>0</v>
      </c>
      <c r="EC2" s="12">
        <v>0</v>
      </c>
      <c r="ED2" s="12">
        <v>0</v>
      </c>
      <c r="EE2" s="12">
        <v>0</v>
      </c>
      <c r="EF2" s="12">
        <v>0</v>
      </c>
      <c r="EG2" s="12">
        <v>0</v>
      </c>
      <c r="EH2" s="12">
        <v>0</v>
      </c>
      <c r="EI2" s="12">
        <v>0</v>
      </c>
      <c r="EJ2" s="12">
        <v>0</v>
      </c>
      <c r="EK2" s="12">
        <v>0</v>
      </c>
      <c r="EL2" s="12">
        <v>0</v>
      </c>
      <c r="EM2" s="12">
        <v>0</v>
      </c>
      <c r="EN2" s="12">
        <v>0</v>
      </c>
      <c r="EO2" s="12">
        <v>0</v>
      </c>
      <c r="EP2" s="12">
        <v>134880</v>
      </c>
      <c r="EQ2" s="12">
        <v>9754005</v>
      </c>
      <c r="ER2" s="12">
        <v>49146</v>
      </c>
      <c r="ES2" s="11" t="s">
        <v>774</v>
      </c>
      <c r="ET2" s="12">
        <v>0</v>
      </c>
      <c r="EU2" s="12">
        <v>0</v>
      </c>
      <c r="EV2" s="12">
        <v>51360</v>
      </c>
      <c r="EW2" s="12">
        <v>9840</v>
      </c>
      <c r="EX2" s="12">
        <v>0</v>
      </c>
      <c r="EY2" s="12">
        <v>75840</v>
      </c>
      <c r="EZ2" s="12">
        <v>1440</v>
      </c>
      <c r="FA2" s="12">
        <v>0</v>
      </c>
      <c r="FB2" s="12">
        <v>0</v>
      </c>
      <c r="FC2" s="12">
        <v>0</v>
      </c>
      <c r="FD2" s="12">
        <v>0</v>
      </c>
      <c r="FE2" s="12">
        <v>0</v>
      </c>
      <c r="FF2" s="12">
        <v>0</v>
      </c>
      <c r="FG2" s="12">
        <v>0</v>
      </c>
      <c r="FH2" s="12">
        <v>0</v>
      </c>
      <c r="FI2" s="12">
        <v>0</v>
      </c>
      <c r="FJ2" s="12">
        <v>0</v>
      </c>
      <c r="FK2" s="12">
        <v>0</v>
      </c>
      <c r="FL2" s="12">
        <v>0</v>
      </c>
      <c r="FM2" s="12">
        <v>0</v>
      </c>
      <c r="FN2" s="12">
        <v>0</v>
      </c>
      <c r="FO2" s="12">
        <v>0</v>
      </c>
      <c r="FP2" s="12">
        <v>0</v>
      </c>
      <c r="FQ2" s="12">
        <v>0</v>
      </c>
      <c r="FR2" s="12">
        <v>0</v>
      </c>
      <c r="FS2" s="12">
        <v>0</v>
      </c>
      <c r="FT2" s="12">
        <v>0</v>
      </c>
      <c r="FU2" s="12">
        <v>0</v>
      </c>
      <c r="FV2" s="12">
        <v>0</v>
      </c>
      <c r="FW2" s="12">
        <v>2917247</v>
      </c>
      <c r="FX2" s="12">
        <v>916005</v>
      </c>
      <c r="FY2" s="12">
        <v>0</v>
      </c>
      <c r="FZ2" s="12">
        <v>6067200</v>
      </c>
      <c r="GA2" s="12">
        <v>125280</v>
      </c>
      <c r="GB2" s="12">
        <v>0</v>
      </c>
      <c r="GC2" s="12">
        <v>0</v>
      </c>
      <c r="GD2" s="12">
        <v>0</v>
      </c>
      <c r="GE2" s="12">
        <v>0</v>
      </c>
      <c r="GF2" s="12">
        <v>0</v>
      </c>
      <c r="GG2" s="12">
        <v>0</v>
      </c>
      <c r="GH2" s="12">
        <v>0</v>
      </c>
      <c r="GI2" s="12">
        <v>0</v>
      </c>
      <c r="GJ2" s="12">
        <v>0</v>
      </c>
      <c r="GK2" s="12">
        <v>0</v>
      </c>
      <c r="GL2" s="12">
        <v>0</v>
      </c>
      <c r="GM2" s="12">
        <v>0</v>
      </c>
      <c r="GN2" s="12">
        <v>0</v>
      </c>
      <c r="GO2" s="12">
        <v>0</v>
      </c>
      <c r="GP2" s="12">
        <v>0</v>
      </c>
      <c r="GQ2" s="12">
        <v>0</v>
      </c>
      <c r="GR2" s="12">
        <v>0</v>
      </c>
      <c r="GS2" s="12">
        <v>0</v>
      </c>
      <c r="GT2" s="12">
        <v>0</v>
      </c>
      <c r="GU2" s="12">
        <v>0</v>
      </c>
      <c r="GV2" s="12">
        <v>138480</v>
      </c>
      <c r="GW2" s="12">
        <v>10025733</v>
      </c>
      <c r="GX2" s="12">
        <v>49404</v>
      </c>
      <c r="GY2" s="11" t="s">
        <v>775</v>
      </c>
      <c r="GZ2" s="12">
        <v>0</v>
      </c>
      <c r="HA2" s="12">
        <v>0</v>
      </c>
      <c r="HB2" s="12">
        <v>0</v>
      </c>
      <c r="HC2" s="12">
        <v>49920</v>
      </c>
      <c r="HD2" s="12">
        <v>9840</v>
      </c>
      <c r="HE2" s="12">
        <v>0</v>
      </c>
      <c r="HF2" s="12">
        <v>77520</v>
      </c>
      <c r="HG2" s="12">
        <v>1440</v>
      </c>
      <c r="HH2" s="12">
        <v>0</v>
      </c>
      <c r="HI2" s="12">
        <v>0</v>
      </c>
      <c r="HJ2" s="12">
        <v>0</v>
      </c>
      <c r="HK2" s="12">
        <v>0</v>
      </c>
      <c r="HL2" s="12">
        <v>0</v>
      </c>
      <c r="HM2" s="12">
        <v>0</v>
      </c>
      <c r="HN2" s="12">
        <v>0</v>
      </c>
      <c r="HO2" s="12">
        <v>0</v>
      </c>
      <c r="HP2" s="12">
        <v>0</v>
      </c>
      <c r="HQ2" s="12">
        <v>0</v>
      </c>
      <c r="HR2" s="12">
        <v>0</v>
      </c>
      <c r="HS2" s="12">
        <v>0</v>
      </c>
      <c r="HT2" s="12">
        <v>0</v>
      </c>
      <c r="HU2" s="12">
        <v>0</v>
      </c>
      <c r="HV2" s="12">
        <v>0</v>
      </c>
      <c r="HW2" s="12">
        <v>0</v>
      </c>
      <c r="HX2" s="12">
        <v>0</v>
      </c>
      <c r="HY2" s="12">
        <v>0</v>
      </c>
      <c r="HZ2" s="12">
        <v>0</v>
      </c>
      <c r="IA2" s="12">
        <v>0</v>
      </c>
      <c r="IB2" s="12">
        <v>0</v>
      </c>
      <c r="IC2" s="12">
        <v>0</v>
      </c>
      <c r="ID2" s="12">
        <v>0</v>
      </c>
      <c r="IE2" s="12">
        <v>0</v>
      </c>
      <c r="IF2" s="12">
        <v>0</v>
      </c>
      <c r="IG2" s="12">
        <v>2835456</v>
      </c>
      <c r="IH2" s="12">
        <v>916005</v>
      </c>
      <c r="II2" s="12">
        <v>0</v>
      </c>
      <c r="IJ2" s="12">
        <v>6201600</v>
      </c>
      <c r="IK2" s="12">
        <v>125280</v>
      </c>
      <c r="IL2" s="12">
        <v>0</v>
      </c>
      <c r="IM2" s="12">
        <v>0</v>
      </c>
      <c r="IN2" s="12">
        <v>0</v>
      </c>
      <c r="IO2" s="12">
        <v>0</v>
      </c>
      <c r="IP2" s="12">
        <v>0</v>
      </c>
      <c r="IQ2" s="12">
        <v>0</v>
      </c>
      <c r="IR2" s="12">
        <v>0</v>
      </c>
      <c r="IS2" s="12">
        <v>0</v>
      </c>
      <c r="IT2" s="12">
        <v>0</v>
      </c>
      <c r="IU2" s="12">
        <v>0</v>
      </c>
      <c r="IV2" s="12">
        <v>0</v>
      </c>
      <c r="IW2" s="12">
        <v>0</v>
      </c>
      <c r="IX2" s="12">
        <v>0</v>
      </c>
      <c r="IY2" s="12">
        <v>0</v>
      </c>
      <c r="IZ2" s="12">
        <v>0</v>
      </c>
      <c r="JA2" s="12">
        <v>0</v>
      </c>
      <c r="JB2" s="12">
        <v>0</v>
      </c>
      <c r="JC2" s="12">
        <v>0</v>
      </c>
      <c r="JD2" s="12">
        <v>0</v>
      </c>
      <c r="JE2" s="12">
        <v>0</v>
      </c>
      <c r="JF2" s="12">
        <v>0</v>
      </c>
      <c r="JG2" s="12">
        <v>0</v>
      </c>
      <c r="JH2" s="12">
        <v>138720</v>
      </c>
      <c r="JI2" s="12">
        <v>10078341</v>
      </c>
      <c r="JJ2" s="12">
        <v>48650</v>
      </c>
      <c r="JK2" s="11" t="s">
        <v>776</v>
      </c>
      <c r="JL2" s="12">
        <v>0</v>
      </c>
      <c r="JM2" s="12">
        <v>0</v>
      </c>
      <c r="JN2" s="12">
        <v>0</v>
      </c>
      <c r="JO2" s="12">
        <v>47520</v>
      </c>
      <c r="JP2" s="12">
        <v>9840</v>
      </c>
      <c r="JQ2" s="12">
        <v>77040</v>
      </c>
      <c r="JR2" s="12">
        <v>1680</v>
      </c>
      <c r="JS2" s="12">
        <v>0</v>
      </c>
      <c r="JT2" s="12">
        <v>0</v>
      </c>
      <c r="JU2" s="12">
        <v>0</v>
      </c>
      <c r="JV2" s="12">
        <v>0</v>
      </c>
      <c r="JW2" s="12">
        <v>0</v>
      </c>
      <c r="JX2" s="12">
        <v>0</v>
      </c>
      <c r="JY2" s="12">
        <v>0</v>
      </c>
      <c r="JZ2" s="12">
        <v>0</v>
      </c>
      <c r="KA2" s="12">
        <v>0</v>
      </c>
      <c r="KB2" s="12">
        <v>0</v>
      </c>
      <c r="KC2" s="12">
        <v>0</v>
      </c>
      <c r="KD2" s="12">
        <v>0</v>
      </c>
      <c r="KE2" s="12">
        <v>0</v>
      </c>
      <c r="KF2" s="12">
        <v>0</v>
      </c>
      <c r="KG2" s="12">
        <v>0</v>
      </c>
      <c r="KH2" s="12">
        <v>0</v>
      </c>
      <c r="KI2" s="12">
        <v>0</v>
      </c>
      <c r="KJ2" s="12">
        <v>0</v>
      </c>
      <c r="KK2" s="12">
        <v>0</v>
      </c>
      <c r="KL2" s="12">
        <v>0</v>
      </c>
      <c r="KM2" s="12">
        <v>2699136</v>
      </c>
      <c r="KN2" s="12">
        <v>916005</v>
      </c>
      <c r="KO2" s="12">
        <v>6163200</v>
      </c>
      <c r="KP2" s="12">
        <v>146160</v>
      </c>
      <c r="KQ2" s="12">
        <v>0</v>
      </c>
      <c r="KR2" s="12">
        <v>0</v>
      </c>
      <c r="KS2" s="12">
        <v>0</v>
      </c>
      <c r="KT2" s="12">
        <v>0</v>
      </c>
      <c r="KU2" s="12">
        <v>0</v>
      </c>
      <c r="KV2" s="12">
        <v>0</v>
      </c>
      <c r="KW2" s="12">
        <v>0</v>
      </c>
      <c r="KX2" s="12">
        <v>0</v>
      </c>
      <c r="KY2" s="12">
        <v>0</v>
      </c>
      <c r="KZ2" s="12">
        <v>0</v>
      </c>
      <c r="LA2" s="12">
        <v>0</v>
      </c>
      <c r="LB2" s="12">
        <v>0</v>
      </c>
      <c r="LC2" s="12">
        <v>0</v>
      </c>
      <c r="LD2" s="12">
        <v>0</v>
      </c>
      <c r="LE2" s="12">
        <v>0</v>
      </c>
      <c r="LF2" s="12">
        <v>0</v>
      </c>
      <c r="LG2" s="12">
        <v>0</v>
      </c>
      <c r="LH2" s="12">
        <v>136080</v>
      </c>
      <c r="LI2" s="12">
        <v>9924501</v>
      </c>
      <c r="LJ2" s="12">
        <v>47309</v>
      </c>
      <c r="LK2" s="11" t="s">
        <v>777</v>
      </c>
      <c r="LL2" s="12">
        <v>0</v>
      </c>
      <c r="LM2" s="12">
        <v>36960</v>
      </c>
      <c r="LN2" s="12">
        <v>9840</v>
      </c>
      <c r="LO2" s="12">
        <v>81120</v>
      </c>
      <c r="LP2" s="12">
        <v>1680</v>
      </c>
      <c r="LQ2" s="12">
        <v>0</v>
      </c>
      <c r="LR2" s="12">
        <v>0</v>
      </c>
      <c r="LS2" s="12">
        <v>0</v>
      </c>
      <c r="LT2" s="12">
        <v>0</v>
      </c>
      <c r="LU2" s="12">
        <v>0</v>
      </c>
      <c r="LV2" s="12">
        <v>0</v>
      </c>
      <c r="LW2" s="12">
        <v>0</v>
      </c>
      <c r="LX2" s="12">
        <v>0</v>
      </c>
      <c r="LY2" s="12">
        <v>0</v>
      </c>
      <c r="LZ2" s="12">
        <v>0</v>
      </c>
      <c r="MA2" s="12">
        <v>0</v>
      </c>
      <c r="MB2" s="12">
        <v>0</v>
      </c>
      <c r="MC2" s="12">
        <v>0</v>
      </c>
      <c r="MD2" s="12">
        <v>0</v>
      </c>
      <c r="ME2" s="12">
        <v>0</v>
      </c>
      <c r="MF2" s="12">
        <v>0</v>
      </c>
      <c r="MG2" s="12">
        <v>0</v>
      </c>
      <c r="MH2" s="12">
        <v>0</v>
      </c>
      <c r="MI2" s="12">
        <v>2099327</v>
      </c>
      <c r="MJ2" s="12">
        <v>916005</v>
      </c>
      <c r="MK2" s="12">
        <v>6489600</v>
      </c>
      <c r="ML2" s="12">
        <v>146160</v>
      </c>
      <c r="MM2" s="12">
        <v>0</v>
      </c>
      <c r="MN2" s="12">
        <v>0</v>
      </c>
      <c r="MO2" s="12">
        <v>0</v>
      </c>
      <c r="MP2" s="12">
        <v>0</v>
      </c>
      <c r="MQ2" s="12">
        <v>0</v>
      </c>
      <c r="MR2" s="12">
        <v>0</v>
      </c>
      <c r="MS2" s="12">
        <v>0</v>
      </c>
      <c r="MT2" s="12">
        <v>0</v>
      </c>
      <c r="MU2" s="12">
        <v>0</v>
      </c>
      <c r="MV2" s="12">
        <v>0</v>
      </c>
      <c r="MW2" s="12">
        <v>0</v>
      </c>
      <c r="MX2" s="12">
        <v>0</v>
      </c>
      <c r="MY2" s="12">
        <v>0</v>
      </c>
      <c r="MZ2" s="12">
        <v>0</v>
      </c>
      <c r="NA2" s="12">
        <v>0</v>
      </c>
      <c r="NB2" s="12">
        <v>0</v>
      </c>
      <c r="NC2" s="12">
        <v>0</v>
      </c>
      <c r="ND2" s="12">
        <v>129600</v>
      </c>
      <c r="NE2" s="12">
        <v>9651093</v>
      </c>
      <c r="NF2" s="12">
        <v>47117</v>
      </c>
      <c r="NG2" s="11" t="s">
        <v>778</v>
      </c>
      <c r="NH2" s="12">
        <v>0</v>
      </c>
      <c r="NI2" s="12">
        <v>31200</v>
      </c>
      <c r="NJ2" s="12">
        <v>9840</v>
      </c>
      <c r="NK2" s="12">
        <v>84720</v>
      </c>
      <c r="NL2" s="12">
        <v>1680</v>
      </c>
      <c r="NM2" s="12">
        <v>0</v>
      </c>
      <c r="NN2" s="12">
        <v>0</v>
      </c>
      <c r="NO2" s="12">
        <v>0</v>
      </c>
      <c r="NP2" s="12">
        <v>0</v>
      </c>
      <c r="NQ2" s="12">
        <v>0</v>
      </c>
      <c r="NR2" s="12">
        <v>0</v>
      </c>
      <c r="NS2" s="12">
        <v>0</v>
      </c>
      <c r="NT2" s="12">
        <v>0</v>
      </c>
      <c r="NU2" s="12">
        <v>0</v>
      </c>
      <c r="NV2" s="12">
        <v>0</v>
      </c>
      <c r="NW2" s="12">
        <v>0</v>
      </c>
      <c r="NX2" s="12">
        <v>0</v>
      </c>
      <c r="NY2" s="12">
        <v>0</v>
      </c>
      <c r="NZ2" s="12">
        <v>0</v>
      </c>
      <c r="OA2" s="12">
        <v>0</v>
      </c>
      <c r="OB2" s="12">
        <v>0</v>
      </c>
      <c r="OC2" s="12">
        <v>0</v>
      </c>
      <c r="OD2" s="12">
        <v>1772160</v>
      </c>
      <c r="OE2" s="12">
        <v>916005</v>
      </c>
      <c r="OF2" s="12">
        <v>6777600</v>
      </c>
      <c r="OG2" s="12">
        <v>146160</v>
      </c>
      <c r="OH2" s="12">
        <v>0</v>
      </c>
      <c r="OI2" s="12">
        <v>0</v>
      </c>
      <c r="OJ2" s="12">
        <v>0</v>
      </c>
      <c r="OK2" s="12">
        <v>0</v>
      </c>
      <c r="OL2" s="12">
        <v>0</v>
      </c>
      <c r="OM2" s="12">
        <v>0</v>
      </c>
      <c r="ON2" s="12">
        <v>0</v>
      </c>
      <c r="OO2" s="12">
        <v>0</v>
      </c>
      <c r="OP2" s="12">
        <v>0</v>
      </c>
      <c r="OQ2" s="12">
        <v>0</v>
      </c>
      <c r="OR2" s="12">
        <v>0</v>
      </c>
      <c r="OS2" s="12">
        <v>0</v>
      </c>
      <c r="OT2" s="12">
        <v>0</v>
      </c>
      <c r="OU2" s="12">
        <v>0</v>
      </c>
      <c r="OV2" s="12">
        <v>0</v>
      </c>
      <c r="OW2" s="12">
        <v>0</v>
      </c>
      <c r="OX2" s="12">
        <v>127440</v>
      </c>
      <c r="OY2" s="12">
        <v>9611925</v>
      </c>
      <c r="OZ2" s="12">
        <v>8659</v>
      </c>
      <c r="PA2" s="11" t="s">
        <v>779</v>
      </c>
      <c r="PB2" s="12">
        <v>0</v>
      </c>
      <c r="PC2" s="12">
        <v>22080</v>
      </c>
      <c r="PD2" s="12">
        <v>0</v>
      </c>
      <c r="PE2" s="12">
        <v>0</v>
      </c>
      <c r="PF2" s="12">
        <v>0</v>
      </c>
      <c r="PG2" s="12">
        <v>0</v>
      </c>
      <c r="PH2" s="12">
        <v>0</v>
      </c>
      <c r="PI2" s="12">
        <v>0</v>
      </c>
      <c r="PJ2" s="12">
        <v>0</v>
      </c>
      <c r="PK2" s="12">
        <v>0</v>
      </c>
      <c r="PL2" s="12">
        <v>0</v>
      </c>
      <c r="PM2" s="12">
        <v>0</v>
      </c>
      <c r="PN2" s="12">
        <v>0</v>
      </c>
      <c r="PO2" s="12">
        <v>0</v>
      </c>
      <c r="PP2" s="12">
        <v>0</v>
      </c>
      <c r="PQ2" s="12">
        <v>0</v>
      </c>
      <c r="PR2" s="12">
        <v>0</v>
      </c>
      <c r="PS2" s="12">
        <v>1766400</v>
      </c>
      <c r="PT2" s="12">
        <v>0</v>
      </c>
      <c r="PU2" s="12">
        <v>0</v>
      </c>
      <c r="PV2" s="12">
        <v>0</v>
      </c>
      <c r="PW2" s="12">
        <v>0</v>
      </c>
      <c r="PX2" s="12">
        <v>0</v>
      </c>
      <c r="PY2" s="12">
        <v>0</v>
      </c>
      <c r="PZ2" s="12">
        <v>0</v>
      </c>
      <c r="QA2" s="12">
        <v>0</v>
      </c>
      <c r="QB2" s="12">
        <v>0</v>
      </c>
      <c r="QC2" s="12">
        <v>0</v>
      </c>
      <c r="QD2" s="12">
        <v>0</v>
      </c>
      <c r="QE2" s="12">
        <v>0</v>
      </c>
      <c r="QF2" s="12">
        <v>0</v>
      </c>
      <c r="QG2" s="12">
        <v>0</v>
      </c>
      <c r="QH2" s="12">
        <v>22080</v>
      </c>
      <c r="QI2" s="12">
        <v>1766400</v>
      </c>
      <c r="QJ2" s="12">
        <v>10071</v>
      </c>
      <c r="QK2" s="11" t="s">
        <v>780</v>
      </c>
      <c r="QL2" s="12">
        <v>0</v>
      </c>
      <c r="QM2" s="12">
        <v>25680</v>
      </c>
      <c r="QN2" s="12">
        <v>0</v>
      </c>
      <c r="QO2" s="12">
        <v>0</v>
      </c>
      <c r="QP2" s="12">
        <v>0</v>
      </c>
      <c r="QQ2" s="12">
        <v>0</v>
      </c>
      <c r="QR2" s="12">
        <v>0</v>
      </c>
      <c r="QS2" s="12">
        <v>0</v>
      </c>
      <c r="QT2" s="12">
        <v>0</v>
      </c>
      <c r="QU2" s="12">
        <v>0</v>
      </c>
      <c r="QV2" s="12">
        <v>0</v>
      </c>
      <c r="QW2" s="12">
        <v>0</v>
      </c>
      <c r="QX2" s="12">
        <v>0</v>
      </c>
      <c r="QY2" s="12">
        <v>0</v>
      </c>
      <c r="QZ2" s="12">
        <v>2054400</v>
      </c>
      <c r="RA2" s="12">
        <v>0</v>
      </c>
      <c r="RB2" s="12">
        <v>0</v>
      </c>
      <c r="RC2" s="12">
        <v>0</v>
      </c>
      <c r="RD2" s="12">
        <v>0</v>
      </c>
      <c r="RE2" s="12">
        <v>0</v>
      </c>
      <c r="RF2" s="12">
        <v>0</v>
      </c>
      <c r="RG2" s="12">
        <v>0</v>
      </c>
      <c r="RH2" s="12">
        <v>0</v>
      </c>
      <c r="RI2" s="12">
        <v>0</v>
      </c>
      <c r="RJ2" s="12">
        <v>0</v>
      </c>
      <c r="RK2" s="12">
        <v>0</v>
      </c>
      <c r="RL2" s="12">
        <v>25680</v>
      </c>
      <c r="RM2" s="12">
        <v>2054400</v>
      </c>
    </row>
    <row x14ac:dyDescent="0.25" r="3" customHeight="1" ht="18" customFormat="1" s="8">
      <c r="A3" s="9" t="s">
        <v>781</v>
      </c>
      <c r="B3" s="12">
        <v>76208</v>
      </c>
      <c r="C3" s="16" t="s">
        <v>467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368400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15546480</v>
      </c>
      <c r="X3" s="12">
        <v>0</v>
      </c>
      <c r="Y3" s="12">
        <v>0</v>
      </c>
      <c r="Z3" s="12">
        <v>368400</v>
      </c>
      <c r="AA3" s="12">
        <v>15546480</v>
      </c>
      <c r="AB3" s="12">
        <v>76208</v>
      </c>
      <c r="AC3" s="11" t="s">
        <v>467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368400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15546480</v>
      </c>
      <c r="BF3" s="12">
        <v>0</v>
      </c>
      <c r="BG3" s="12">
        <v>0</v>
      </c>
      <c r="BH3" s="12">
        <v>368400</v>
      </c>
      <c r="BI3" s="12">
        <v>15546480</v>
      </c>
      <c r="BJ3" s="12">
        <v>49981</v>
      </c>
      <c r="BK3" s="11" t="s">
        <v>782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157440</v>
      </c>
      <c r="BX3" s="12">
        <v>71760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6643968</v>
      </c>
      <c r="CL3" s="12">
        <v>3552120</v>
      </c>
      <c r="CM3" s="12">
        <v>0</v>
      </c>
      <c r="CN3" s="12">
        <v>229200</v>
      </c>
      <c r="CO3" s="12">
        <v>10196088</v>
      </c>
      <c r="CP3" s="12">
        <v>76208</v>
      </c>
      <c r="CQ3" s="11" t="s">
        <v>467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368400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0</v>
      </c>
      <c r="DX3" s="12">
        <v>0</v>
      </c>
      <c r="DY3" s="12">
        <v>0</v>
      </c>
      <c r="DZ3" s="12">
        <v>0</v>
      </c>
      <c r="EA3" s="12">
        <v>0</v>
      </c>
      <c r="EB3" s="12">
        <v>0</v>
      </c>
      <c r="EC3" s="12">
        <v>0</v>
      </c>
      <c r="ED3" s="12">
        <v>0</v>
      </c>
      <c r="EE3" s="12">
        <v>0</v>
      </c>
      <c r="EF3" s="12">
        <v>0</v>
      </c>
      <c r="EG3" s="12">
        <v>15546480</v>
      </c>
      <c r="EH3" s="12">
        <v>0</v>
      </c>
      <c r="EI3" s="12">
        <v>0</v>
      </c>
      <c r="EJ3" s="12">
        <v>0</v>
      </c>
      <c r="EK3" s="12">
        <v>0</v>
      </c>
      <c r="EL3" s="12">
        <v>0</v>
      </c>
      <c r="EM3" s="12">
        <v>0</v>
      </c>
      <c r="EN3" s="12">
        <v>0</v>
      </c>
      <c r="EO3" s="12">
        <v>0</v>
      </c>
      <c r="EP3" s="12">
        <v>368400</v>
      </c>
      <c r="EQ3" s="12">
        <v>15546480</v>
      </c>
      <c r="ER3" s="12">
        <v>76208</v>
      </c>
      <c r="ES3" s="11" t="s">
        <v>467</v>
      </c>
      <c r="ET3" s="12">
        <v>0</v>
      </c>
      <c r="EU3" s="12">
        <v>0</v>
      </c>
      <c r="EV3" s="12">
        <v>0</v>
      </c>
      <c r="EW3" s="12">
        <v>0</v>
      </c>
      <c r="EX3" s="12">
        <v>0</v>
      </c>
      <c r="EY3" s="12">
        <v>0</v>
      </c>
      <c r="EZ3" s="12">
        <v>0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0</v>
      </c>
      <c r="FH3" s="12">
        <v>0</v>
      </c>
      <c r="FI3" s="12">
        <v>0</v>
      </c>
      <c r="FJ3" s="12">
        <v>368400</v>
      </c>
      <c r="FK3" s="12">
        <v>0</v>
      </c>
      <c r="FL3" s="12">
        <v>0</v>
      </c>
      <c r="FM3" s="12">
        <v>0</v>
      </c>
      <c r="FN3" s="12">
        <v>0</v>
      </c>
      <c r="FO3" s="12">
        <v>0</v>
      </c>
      <c r="FP3" s="12">
        <v>0</v>
      </c>
      <c r="FQ3" s="12">
        <v>0</v>
      </c>
      <c r="FR3" s="12">
        <v>0</v>
      </c>
      <c r="FS3" s="12">
        <v>0</v>
      </c>
      <c r="FT3" s="12">
        <v>0</v>
      </c>
      <c r="FU3" s="12">
        <v>0</v>
      </c>
      <c r="FV3" s="12">
        <v>0</v>
      </c>
      <c r="FW3" s="12">
        <v>0</v>
      </c>
      <c r="FX3" s="12">
        <v>0</v>
      </c>
      <c r="FY3" s="12">
        <v>0</v>
      </c>
      <c r="FZ3" s="12">
        <v>0</v>
      </c>
      <c r="GA3" s="12">
        <v>0</v>
      </c>
      <c r="GB3" s="12">
        <v>0</v>
      </c>
      <c r="GC3" s="12">
        <v>0</v>
      </c>
      <c r="GD3" s="12">
        <v>0</v>
      </c>
      <c r="GE3" s="12">
        <v>0</v>
      </c>
      <c r="GF3" s="12">
        <v>0</v>
      </c>
      <c r="GG3" s="12">
        <v>0</v>
      </c>
      <c r="GH3" s="12">
        <v>0</v>
      </c>
      <c r="GI3" s="12">
        <v>0</v>
      </c>
      <c r="GJ3" s="12">
        <v>0</v>
      </c>
      <c r="GK3" s="12">
        <v>15546480</v>
      </c>
      <c r="GL3" s="12">
        <v>0</v>
      </c>
      <c r="GM3" s="12">
        <v>0</v>
      </c>
      <c r="GN3" s="12">
        <v>0</v>
      </c>
      <c r="GO3" s="12">
        <v>0</v>
      </c>
      <c r="GP3" s="12">
        <v>0</v>
      </c>
      <c r="GQ3" s="12">
        <v>0</v>
      </c>
      <c r="GR3" s="12">
        <v>0</v>
      </c>
      <c r="GS3" s="12">
        <v>0</v>
      </c>
      <c r="GT3" s="12">
        <v>0</v>
      </c>
      <c r="GU3" s="12">
        <v>0</v>
      </c>
      <c r="GV3" s="12">
        <v>368400</v>
      </c>
      <c r="GW3" s="12">
        <v>15546480</v>
      </c>
      <c r="GX3" s="12">
        <v>76208</v>
      </c>
      <c r="GY3" s="11" t="s">
        <v>467</v>
      </c>
      <c r="GZ3" s="12">
        <v>0</v>
      </c>
      <c r="HA3" s="12">
        <v>0</v>
      </c>
      <c r="HB3" s="12">
        <v>0</v>
      </c>
      <c r="HC3" s="12">
        <v>0</v>
      </c>
      <c r="HD3" s="12">
        <v>0</v>
      </c>
      <c r="HE3" s="12">
        <v>0</v>
      </c>
      <c r="HF3" s="12">
        <v>0</v>
      </c>
      <c r="HG3" s="12">
        <v>0</v>
      </c>
      <c r="HH3" s="12">
        <v>0</v>
      </c>
      <c r="HI3" s="12">
        <v>0</v>
      </c>
      <c r="HJ3" s="12">
        <v>0</v>
      </c>
      <c r="HK3" s="12">
        <v>0</v>
      </c>
      <c r="HL3" s="12">
        <v>0</v>
      </c>
      <c r="HM3" s="12">
        <v>0</v>
      </c>
      <c r="HN3" s="12">
        <v>0</v>
      </c>
      <c r="HO3" s="12">
        <v>0</v>
      </c>
      <c r="HP3" s="12">
        <v>0</v>
      </c>
      <c r="HQ3" s="12">
        <v>368400</v>
      </c>
      <c r="HR3" s="12">
        <v>0</v>
      </c>
      <c r="HS3" s="12">
        <v>0</v>
      </c>
      <c r="HT3" s="12">
        <v>0</v>
      </c>
      <c r="HU3" s="12">
        <v>0</v>
      </c>
      <c r="HV3" s="12">
        <v>0</v>
      </c>
      <c r="HW3" s="12">
        <v>0</v>
      </c>
      <c r="HX3" s="12">
        <v>0</v>
      </c>
      <c r="HY3" s="12">
        <v>0</v>
      </c>
      <c r="HZ3" s="12">
        <v>0</v>
      </c>
      <c r="IA3" s="12">
        <v>0</v>
      </c>
      <c r="IB3" s="12">
        <v>0</v>
      </c>
      <c r="IC3" s="12">
        <v>0</v>
      </c>
      <c r="ID3" s="12">
        <v>0</v>
      </c>
      <c r="IE3" s="12">
        <v>0</v>
      </c>
      <c r="IF3" s="12">
        <v>0</v>
      </c>
      <c r="IG3" s="12">
        <v>0</v>
      </c>
      <c r="IH3" s="12">
        <v>0</v>
      </c>
      <c r="II3" s="12">
        <v>0</v>
      </c>
      <c r="IJ3" s="12">
        <v>0</v>
      </c>
      <c r="IK3" s="12">
        <v>0</v>
      </c>
      <c r="IL3" s="12">
        <v>0</v>
      </c>
      <c r="IM3" s="12">
        <v>0</v>
      </c>
      <c r="IN3" s="12">
        <v>0</v>
      </c>
      <c r="IO3" s="12">
        <v>0</v>
      </c>
      <c r="IP3" s="12">
        <v>0</v>
      </c>
      <c r="IQ3" s="12">
        <v>0</v>
      </c>
      <c r="IR3" s="12">
        <v>0</v>
      </c>
      <c r="IS3" s="12">
        <v>0</v>
      </c>
      <c r="IT3" s="12">
        <v>0</v>
      </c>
      <c r="IU3" s="12">
        <v>15546480</v>
      </c>
      <c r="IV3" s="12">
        <v>0</v>
      </c>
      <c r="IW3" s="12">
        <v>0</v>
      </c>
      <c r="IX3" s="12">
        <v>0</v>
      </c>
      <c r="IY3" s="12">
        <v>0</v>
      </c>
      <c r="IZ3" s="12">
        <v>0</v>
      </c>
      <c r="JA3" s="12">
        <v>0</v>
      </c>
      <c r="JB3" s="12">
        <v>0</v>
      </c>
      <c r="JC3" s="12">
        <v>0</v>
      </c>
      <c r="JD3" s="12">
        <v>0</v>
      </c>
      <c r="JE3" s="12">
        <v>0</v>
      </c>
      <c r="JF3" s="12">
        <v>0</v>
      </c>
      <c r="JG3" s="12">
        <v>0</v>
      </c>
      <c r="JH3" s="12">
        <v>368400</v>
      </c>
      <c r="JI3" s="12">
        <v>15546480</v>
      </c>
      <c r="JJ3" s="12">
        <v>76166</v>
      </c>
      <c r="JK3" s="11" t="s">
        <v>783</v>
      </c>
      <c r="JL3" s="12">
        <v>0</v>
      </c>
      <c r="JM3" s="12">
        <v>0</v>
      </c>
      <c r="JN3" s="12">
        <v>0</v>
      </c>
      <c r="JO3" s="12">
        <v>0</v>
      </c>
      <c r="JP3" s="12">
        <v>0</v>
      </c>
      <c r="JQ3" s="12">
        <v>0</v>
      </c>
      <c r="JR3" s="12">
        <v>0</v>
      </c>
      <c r="JS3" s="12">
        <v>0</v>
      </c>
      <c r="JT3" s="12">
        <v>0</v>
      </c>
      <c r="JU3" s="12">
        <v>0</v>
      </c>
      <c r="JV3" s="12">
        <v>0</v>
      </c>
      <c r="JW3" s="12">
        <v>0</v>
      </c>
      <c r="JX3" s="12">
        <v>0</v>
      </c>
      <c r="JY3" s="12">
        <v>361440</v>
      </c>
      <c r="JZ3" s="12">
        <v>5760</v>
      </c>
      <c r="KA3" s="12">
        <v>0</v>
      </c>
      <c r="KB3" s="12">
        <v>0</v>
      </c>
      <c r="KC3" s="12">
        <v>0</v>
      </c>
      <c r="KD3" s="12">
        <v>0</v>
      </c>
      <c r="KE3" s="12">
        <v>0</v>
      </c>
      <c r="KF3" s="12">
        <v>0</v>
      </c>
      <c r="KG3" s="12">
        <v>0</v>
      </c>
      <c r="KH3" s="12">
        <v>0</v>
      </c>
      <c r="KI3" s="12">
        <v>0</v>
      </c>
      <c r="KJ3" s="12">
        <v>0</v>
      </c>
      <c r="KK3" s="12">
        <v>0</v>
      </c>
      <c r="KL3" s="12">
        <v>0</v>
      </c>
      <c r="KM3" s="12">
        <v>0</v>
      </c>
      <c r="KN3" s="12">
        <v>0</v>
      </c>
      <c r="KO3" s="12">
        <v>0</v>
      </c>
      <c r="KP3" s="12">
        <v>0</v>
      </c>
      <c r="KQ3" s="12">
        <v>0</v>
      </c>
      <c r="KR3" s="12">
        <v>0</v>
      </c>
      <c r="KS3" s="12">
        <v>0</v>
      </c>
      <c r="KT3" s="12">
        <v>0</v>
      </c>
      <c r="KU3" s="12">
        <v>0</v>
      </c>
      <c r="KV3" s="12">
        <v>0</v>
      </c>
      <c r="KW3" s="12">
        <v>15252768</v>
      </c>
      <c r="KX3" s="12">
        <v>285120</v>
      </c>
      <c r="KY3" s="12">
        <v>0</v>
      </c>
      <c r="KZ3" s="12">
        <v>0</v>
      </c>
      <c r="LA3" s="12">
        <v>0</v>
      </c>
      <c r="LB3" s="12">
        <v>0</v>
      </c>
      <c r="LC3" s="12">
        <v>0</v>
      </c>
      <c r="LD3" s="12">
        <v>0</v>
      </c>
      <c r="LE3" s="12">
        <v>0</v>
      </c>
      <c r="LF3" s="12">
        <v>0</v>
      </c>
      <c r="LG3" s="12">
        <v>0</v>
      </c>
      <c r="LH3" s="12">
        <v>367200</v>
      </c>
      <c r="LI3" s="12">
        <v>15537888</v>
      </c>
      <c r="LJ3" s="12">
        <v>76175</v>
      </c>
      <c r="LK3" s="11" t="s">
        <v>485</v>
      </c>
      <c r="LL3" s="12">
        <v>0</v>
      </c>
      <c r="LM3" s="12">
        <v>0</v>
      </c>
      <c r="LN3" s="12">
        <v>0</v>
      </c>
      <c r="LO3" s="12">
        <v>0</v>
      </c>
      <c r="LP3" s="12">
        <v>0</v>
      </c>
      <c r="LQ3" s="12">
        <v>0</v>
      </c>
      <c r="LR3" s="12">
        <v>0</v>
      </c>
      <c r="LS3" s="12">
        <v>0</v>
      </c>
      <c r="LT3" s="12">
        <v>0</v>
      </c>
      <c r="LU3" s="12">
        <v>0</v>
      </c>
      <c r="LV3" s="12">
        <v>323760</v>
      </c>
      <c r="LW3" s="12">
        <v>37920</v>
      </c>
      <c r="LX3" s="12">
        <v>0</v>
      </c>
      <c r="LY3" s="12">
        <v>0</v>
      </c>
      <c r="LZ3" s="12">
        <v>0</v>
      </c>
      <c r="MA3" s="12">
        <v>0</v>
      </c>
      <c r="MB3" s="12">
        <v>0</v>
      </c>
      <c r="MC3" s="12">
        <v>0</v>
      </c>
      <c r="MD3" s="12">
        <v>0</v>
      </c>
      <c r="ME3" s="12">
        <v>0</v>
      </c>
      <c r="MF3" s="12">
        <v>0</v>
      </c>
      <c r="MG3" s="12">
        <v>0</v>
      </c>
      <c r="MH3" s="12">
        <v>0</v>
      </c>
      <c r="MI3" s="12">
        <v>0</v>
      </c>
      <c r="MJ3" s="12">
        <v>0</v>
      </c>
      <c r="MK3" s="12">
        <v>0</v>
      </c>
      <c r="ML3" s="12">
        <v>0</v>
      </c>
      <c r="MM3" s="12">
        <v>0</v>
      </c>
      <c r="MN3" s="12">
        <v>0</v>
      </c>
      <c r="MO3" s="12">
        <v>0</v>
      </c>
      <c r="MP3" s="12">
        <v>0</v>
      </c>
      <c r="MQ3" s="12">
        <v>0</v>
      </c>
      <c r="MR3" s="12">
        <v>13662672</v>
      </c>
      <c r="MS3" s="12">
        <v>1877040</v>
      </c>
      <c r="MT3" s="12">
        <v>0</v>
      </c>
      <c r="MU3" s="12">
        <v>0</v>
      </c>
      <c r="MV3" s="12">
        <v>0</v>
      </c>
      <c r="MW3" s="12">
        <v>0</v>
      </c>
      <c r="MX3" s="12">
        <v>0</v>
      </c>
      <c r="MY3" s="12">
        <v>0</v>
      </c>
      <c r="MZ3" s="12">
        <v>0</v>
      </c>
      <c r="NA3" s="12">
        <v>0</v>
      </c>
      <c r="NB3" s="12">
        <v>0</v>
      </c>
      <c r="NC3" s="12">
        <v>0</v>
      </c>
      <c r="ND3" s="12">
        <v>361680</v>
      </c>
      <c r="NE3" s="12">
        <v>15539712</v>
      </c>
      <c r="NF3" s="12">
        <v>76181</v>
      </c>
      <c r="NG3" s="11" t="s">
        <v>465</v>
      </c>
      <c r="NH3" s="12">
        <v>0</v>
      </c>
      <c r="NI3" s="12">
        <v>0</v>
      </c>
      <c r="NJ3" s="12">
        <v>0</v>
      </c>
      <c r="NK3" s="12">
        <v>0</v>
      </c>
      <c r="NL3" s="12">
        <v>0</v>
      </c>
      <c r="NM3" s="12">
        <v>0</v>
      </c>
      <c r="NN3" s="12">
        <v>0</v>
      </c>
      <c r="NO3" s="12">
        <v>0</v>
      </c>
      <c r="NP3" s="12">
        <v>0</v>
      </c>
      <c r="NQ3" s="12">
        <v>348000</v>
      </c>
      <c r="NR3" s="12">
        <v>17280</v>
      </c>
      <c r="NS3" s="12">
        <v>0</v>
      </c>
      <c r="NT3" s="12">
        <v>0</v>
      </c>
      <c r="NU3" s="12">
        <v>0</v>
      </c>
      <c r="NV3" s="12">
        <v>0</v>
      </c>
      <c r="NW3" s="12">
        <v>0</v>
      </c>
      <c r="NX3" s="12">
        <v>0</v>
      </c>
      <c r="NY3" s="12">
        <v>0</v>
      </c>
      <c r="NZ3" s="12">
        <v>0</v>
      </c>
      <c r="OA3" s="12">
        <v>0</v>
      </c>
      <c r="OB3" s="12">
        <v>0</v>
      </c>
      <c r="OC3" s="12">
        <v>0</v>
      </c>
      <c r="OD3" s="12">
        <v>0</v>
      </c>
      <c r="OE3" s="12">
        <v>0</v>
      </c>
      <c r="OF3" s="12">
        <v>0</v>
      </c>
      <c r="OG3" s="12">
        <v>0</v>
      </c>
      <c r="OH3" s="12">
        <v>0</v>
      </c>
      <c r="OI3" s="12">
        <v>0</v>
      </c>
      <c r="OJ3" s="12">
        <v>0</v>
      </c>
      <c r="OK3" s="12">
        <v>0</v>
      </c>
      <c r="OL3" s="12">
        <v>14685600</v>
      </c>
      <c r="OM3" s="12">
        <v>855360</v>
      </c>
      <c r="ON3" s="12">
        <v>0</v>
      </c>
      <c r="OO3" s="12">
        <v>0</v>
      </c>
      <c r="OP3" s="12">
        <v>0</v>
      </c>
      <c r="OQ3" s="12">
        <v>0</v>
      </c>
      <c r="OR3" s="12">
        <v>0</v>
      </c>
      <c r="OS3" s="12">
        <v>0</v>
      </c>
      <c r="OT3" s="12">
        <v>0</v>
      </c>
      <c r="OU3" s="12">
        <v>0</v>
      </c>
      <c r="OV3" s="12">
        <v>0</v>
      </c>
      <c r="OW3" s="12">
        <v>0</v>
      </c>
      <c r="OX3" s="12">
        <v>365280</v>
      </c>
      <c r="OY3" s="12">
        <v>15540960</v>
      </c>
      <c r="OZ3" s="12">
        <v>76198</v>
      </c>
      <c r="PA3" s="11" t="s">
        <v>466</v>
      </c>
      <c r="PB3" s="12">
        <v>0</v>
      </c>
      <c r="PC3" s="12">
        <v>0</v>
      </c>
      <c r="PD3" s="12">
        <v>0</v>
      </c>
      <c r="PE3" s="12">
        <v>0</v>
      </c>
      <c r="PF3" s="12">
        <v>0</v>
      </c>
      <c r="PG3" s="12">
        <v>0</v>
      </c>
      <c r="PH3" s="12">
        <v>347520</v>
      </c>
      <c r="PI3" s="12">
        <v>17760</v>
      </c>
      <c r="PJ3" s="12">
        <v>0</v>
      </c>
      <c r="PK3" s="12">
        <v>0</v>
      </c>
      <c r="PL3" s="12">
        <v>0</v>
      </c>
      <c r="PM3" s="12">
        <v>0</v>
      </c>
      <c r="PN3" s="12">
        <v>0</v>
      </c>
      <c r="PO3" s="12">
        <v>0</v>
      </c>
      <c r="PP3" s="12">
        <v>0</v>
      </c>
      <c r="PQ3" s="12">
        <v>0</v>
      </c>
      <c r="PR3" s="12">
        <v>0</v>
      </c>
      <c r="PS3" s="12">
        <v>0</v>
      </c>
      <c r="PT3" s="12">
        <v>0</v>
      </c>
      <c r="PU3" s="12">
        <v>0</v>
      </c>
      <c r="PV3" s="12">
        <v>0</v>
      </c>
      <c r="PW3" s="12">
        <v>0</v>
      </c>
      <c r="PX3" s="12">
        <v>14665344</v>
      </c>
      <c r="PY3" s="12">
        <v>879120</v>
      </c>
      <c r="PZ3" s="12">
        <v>0</v>
      </c>
      <c r="QA3" s="12">
        <v>0</v>
      </c>
      <c r="QB3" s="12">
        <v>0</v>
      </c>
      <c r="QC3" s="12">
        <v>0</v>
      </c>
      <c r="QD3" s="12">
        <v>0</v>
      </c>
      <c r="QE3" s="12">
        <v>0</v>
      </c>
      <c r="QF3" s="12">
        <v>0</v>
      </c>
      <c r="QG3" s="12">
        <v>0</v>
      </c>
      <c r="QH3" s="12">
        <v>365280</v>
      </c>
      <c r="QI3" s="12">
        <v>15544464</v>
      </c>
      <c r="QJ3" s="12">
        <v>76195</v>
      </c>
      <c r="QK3" s="11" t="s">
        <v>466</v>
      </c>
      <c r="QL3" s="12">
        <v>0</v>
      </c>
      <c r="QM3" s="12">
        <v>0</v>
      </c>
      <c r="QN3" s="12">
        <v>0</v>
      </c>
      <c r="QO3" s="12">
        <v>276000</v>
      </c>
      <c r="QP3" s="12">
        <v>78720</v>
      </c>
      <c r="QQ3" s="12">
        <v>0</v>
      </c>
      <c r="QR3" s="12">
        <v>0</v>
      </c>
      <c r="QS3" s="12">
        <v>0</v>
      </c>
      <c r="QT3" s="12">
        <v>0</v>
      </c>
      <c r="QU3" s="12">
        <v>0</v>
      </c>
      <c r="QV3" s="12">
        <v>0</v>
      </c>
      <c r="QW3" s="12">
        <v>0</v>
      </c>
      <c r="QX3" s="12">
        <v>0</v>
      </c>
      <c r="QY3" s="12">
        <v>0</v>
      </c>
      <c r="QZ3" s="12">
        <v>0</v>
      </c>
      <c r="RA3" s="12">
        <v>0</v>
      </c>
      <c r="RB3" s="12">
        <v>11647200</v>
      </c>
      <c r="RC3" s="12">
        <v>3896640</v>
      </c>
      <c r="RD3" s="12">
        <v>0</v>
      </c>
      <c r="RE3" s="12">
        <v>0</v>
      </c>
      <c r="RF3" s="12">
        <v>0</v>
      </c>
      <c r="RG3" s="12">
        <v>0</v>
      </c>
      <c r="RH3" s="12">
        <v>0</v>
      </c>
      <c r="RI3" s="12">
        <v>0</v>
      </c>
      <c r="RJ3" s="12">
        <v>0</v>
      </c>
      <c r="RK3" s="12">
        <v>0</v>
      </c>
      <c r="RL3" s="12">
        <v>354720</v>
      </c>
      <c r="RM3" s="12">
        <v>15543840</v>
      </c>
    </row>
    <row x14ac:dyDescent="0.25" r="4" customHeight="1" ht="18" customFormat="1" s="8">
      <c r="A4" s="9" t="s">
        <v>784</v>
      </c>
      <c r="B4" s="12">
        <v>56124</v>
      </c>
      <c r="C4" s="16" t="s">
        <v>785</v>
      </c>
      <c r="D4" s="12">
        <v>32400</v>
      </c>
      <c r="E4" s="12">
        <v>300720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1113588</v>
      </c>
      <c r="P4" s="12">
        <v>10335746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333120</v>
      </c>
      <c r="AA4" s="12">
        <v>11449334</v>
      </c>
      <c r="AB4" s="12">
        <v>44196</v>
      </c>
      <c r="AC4" s="11" t="s">
        <v>786</v>
      </c>
      <c r="AD4" s="12">
        <v>12480</v>
      </c>
      <c r="AE4" s="12">
        <v>249840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428937</v>
      </c>
      <c r="AT4" s="12">
        <v>8587000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262320</v>
      </c>
      <c r="BI4" s="12">
        <v>9015938</v>
      </c>
      <c r="BJ4" s="12">
        <v>11443</v>
      </c>
      <c r="BK4" s="11" t="s">
        <v>787</v>
      </c>
      <c r="BL4" s="12">
        <v>67920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2334410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67920</v>
      </c>
      <c r="CO4" s="12">
        <v>2334410</v>
      </c>
      <c r="CP4" s="12">
        <v>43832</v>
      </c>
      <c r="CQ4" s="11" t="s">
        <v>788</v>
      </c>
      <c r="CR4" s="12">
        <v>13200</v>
      </c>
      <c r="CS4" s="12">
        <v>246960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453684</v>
      </c>
      <c r="DR4" s="12">
        <v>8488015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260160</v>
      </c>
      <c r="EQ4" s="12">
        <v>8941699</v>
      </c>
      <c r="ER4" s="12">
        <v>45409</v>
      </c>
      <c r="ES4" s="11" t="s">
        <v>789</v>
      </c>
      <c r="ET4" s="12">
        <v>13200</v>
      </c>
      <c r="EU4" s="12">
        <v>256320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0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>
        <v>0</v>
      </c>
      <c r="FT4" s="12">
        <v>0</v>
      </c>
      <c r="FU4" s="12">
        <v>453684</v>
      </c>
      <c r="FV4" s="12">
        <v>8809718</v>
      </c>
      <c r="FW4" s="12">
        <v>0</v>
      </c>
      <c r="FX4" s="12">
        <v>0</v>
      </c>
      <c r="FY4" s="12">
        <v>0</v>
      </c>
      <c r="FZ4" s="12">
        <v>0</v>
      </c>
      <c r="GA4" s="12">
        <v>0</v>
      </c>
      <c r="GB4" s="12">
        <v>0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0</v>
      </c>
      <c r="GP4" s="12">
        <v>0</v>
      </c>
      <c r="GQ4" s="12">
        <v>0</v>
      </c>
      <c r="GR4" s="12">
        <v>0</v>
      </c>
      <c r="GS4" s="12">
        <v>0</v>
      </c>
      <c r="GT4" s="12">
        <v>0</v>
      </c>
      <c r="GU4" s="12">
        <v>0</v>
      </c>
      <c r="GV4" s="12">
        <v>269520</v>
      </c>
      <c r="GW4" s="12">
        <v>9263402</v>
      </c>
      <c r="GX4" s="12">
        <v>47026</v>
      </c>
      <c r="GY4" s="11" t="s">
        <v>790</v>
      </c>
      <c r="GZ4" s="12">
        <v>13200</v>
      </c>
      <c r="HA4" s="12">
        <v>265920</v>
      </c>
      <c r="HB4" s="12">
        <v>0</v>
      </c>
      <c r="HC4" s="12">
        <v>0</v>
      </c>
      <c r="HD4" s="12">
        <v>0</v>
      </c>
      <c r="HE4" s="12">
        <v>0</v>
      </c>
      <c r="HF4" s="12">
        <v>0</v>
      </c>
      <c r="HG4" s="12">
        <v>0</v>
      </c>
      <c r="HH4" s="12">
        <v>0</v>
      </c>
      <c r="HI4" s="12">
        <v>0</v>
      </c>
      <c r="HJ4" s="12">
        <v>0</v>
      </c>
      <c r="HK4" s="12">
        <v>0</v>
      </c>
      <c r="HL4" s="12">
        <v>0</v>
      </c>
      <c r="HM4" s="12">
        <v>0</v>
      </c>
      <c r="HN4" s="12">
        <v>0</v>
      </c>
      <c r="HO4" s="12">
        <v>0</v>
      </c>
      <c r="HP4" s="12">
        <v>0</v>
      </c>
      <c r="HQ4" s="12">
        <v>0</v>
      </c>
      <c r="HR4" s="12">
        <v>0</v>
      </c>
      <c r="HS4" s="12">
        <v>0</v>
      </c>
      <c r="HT4" s="12">
        <v>0</v>
      </c>
      <c r="HU4" s="12">
        <v>0</v>
      </c>
      <c r="HV4" s="12">
        <v>0</v>
      </c>
      <c r="HW4" s="12">
        <v>0</v>
      </c>
      <c r="HX4" s="12">
        <v>0</v>
      </c>
      <c r="HY4" s="12">
        <v>0</v>
      </c>
      <c r="HZ4" s="12">
        <v>0</v>
      </c>
      <c r="IA4" s="12">
        <v>0</v>
      </c>
      <c r="IB4" s="12">
        <v>0</v>
      </c>
      <c r="IC4" s="12">
        <v>0</v>
      </c>
      <c r="ID4" s="12">
        <v>453684</v>
      </c>
      <c r="IE4" s="12">
        <v>9139670</v>
      </c>
      <c r="IF4" s="12">
        <v>0</v>
      </c>
      <c r="IG4" s="12">
        <v>0</v>
      </c>
      <c r="IH4" s="12">
        <v>0</v>
      </c>
      <c r="II4" s="12">
        <v>0</v>
      </c>
      <c r="IJ4" s="12">
        <v>0</v>
      </c>
      <c r="IK4" s="12">
        <v>0</v>
      </c>
      <c r="IL4" s="12">
        <v>0</v>
      </c>
      <c r="IM4" s="12">
        <v>0</v>
      </c>
      <c r="IN4" s="12">
        <v>0</v>
      </c>
      <c r="IO4" s="12">
        <v>0</v>
      </c>
      <c r="IP4" s="12">
        <v>0</v>
      </c>
      <c r="IQ4" s="12">
        <v>0</v>
      </c>
      <c r="IR4" s="12">
        <v>0</v>
      </c>
      <c r="IS4" s="12">
        <v>0</v>
      </c>
      <c r="IT4" s="12">
        <v>0</v>
      </c>
      <c r="IU4" s="12">
        <v>0</v>
      </c>
      <c r="IV4" s="12">
        <v>0</v>
      </c>
      <c r="IW4" s="12">
        <v>0</v>
      </c>
      <c r="IX4" s="12">
        <v>0</v>
      </c>
      <c r="IY4" s="12">
        <v>0</v>
      </c>
      <c r="IZ4" s="12">
        <v>0</v>
      </c>
      <c r="JA4" s="12">
        <v>0</v>
      </c>
      <c r="JB4" s="12">
        <v>0</v>
      </c>
      <c r="JC4" s="12">
        <v>0</v>
      </c>
      <c r="JD4" s="12">
        <v>0</v>
      </c>
      <c r="JE4" s="12">
        <v>0</v>
      </c>
      <c r="JF4" s="12">
        <v>0</v>
      </c>
      <c r="JG4" s="12">
        <v>0</v>
      </c>
      <c r="JH4" s="12">
        <v>279120</v>
      </c>
      <c r="JI4" s="12">
        <v>9593354</v>
      </c>
      <c r="JJ4" s="12">
        <v>49655</v>
      </c>
      <c r="JK4" s="11" t="s">
        <v>791</v>
      </c>
      <c r="JL4" s="12">
        <v>14640</v>
      </c>
      <c r="JM4" s="12">
        <v>280080</v>
      </c>
      <c r="JN4" s="12">
        <v>0</v>
      </c>
      <c r="JO4" s="12">
        <v>0</v>
      </c>
      <c r="JP4" s="12">
        <v>0</v>
      </c>
      <c r="JQ4" s="12">
        <v>0</v>
      </c>
      <c r="JR4" s="12">
        <v>0</v>
      </c>
      <c r="JS4" s="12">
        <v>0</v>
      </c>
      <c r="JT4" s="12">
        <v>0</v>
      </c>
      <c r="JU4" s="12">
        <v>0</v>
      </c>
      <c r="JV4" s="12">
        <v>0</v>
      </c>
      <c r="JW4" s="12">
        <v>0</v>
      </c>
      <c r="JX4" s="12">
        <v>0</v>
      </c>
      <c r="JY4" s="12">
        <v>0</v>
      </c>
      <c r="JZ4" s="12">
        <v>0</v>
      </c>
      <c r="KA4" s="12">
        <v>0</v>
      </c>
      <c r="KB4" s="12">
        <v>0</v>
      </c>
      <c r="KC4" s="12">
        <v>0</v>
      </c>
      <c r="KD4" s="12">
        <v>0</v>
      </c>
      <c r="KE4" s="12">
        <v>0</v>
      </c>
      <c r="KF4" s="12">
        <v>0</v>
      </c>
      <c r="KG4" s="12">
        <v>0</v>
      </c>
      <c r="KH4" s="12">
        <v>0</v>
      </c>
      <c r="KI4" s="12">
        <v>0</v>
      </c>
      <c r="KJ4" s="12">
        <v>503176</v>
      </c>
      <c r="KK4" s="12">
        <v>9626349</v>
      </c>
      <c r="KL4" s="12">
        <v>0</v>
      </c>
      <c r="KM4" s="12">
        <v>0</v>
      </c>
      <c r="KN4" s="12">
        <v>0</v>
      </c>
      <c r="KO4" s="12">
        <v>0</v>
      </c>
      <c r="KP4" s="12">
        <v>0</v>
      </c>
      <c r="KQ4" s="12">
        <v>0</v>
      </c>
      <c r="KR4" s="12">
        <v>0</v>
      </c>
      <c r="KS4" s="12">
        <v>0</v>
      </c>
      <c r="KT4" s="12">
        <v>0</v>
      </c>
      <c r="KU4" s="12">
        <v>0</v>
      </c>
      <c r="KV4" s="12">
        <v>0</v>
      </c>
      <c r="KW4" s="12">
        <v>0</v>
      </c>
      <c r="KX4" s="12">
        <v>0</v>
      </c>
      <c r="KY4" s="12">
        <v>0</v>
      </c>
      <c r="KZ4" s="12">
        <v>0</v>
      </c>
      <c r="LA4" s="12">
        <v>0</v>
      </c>
      <c r="LB4" s="12">
        <v>0</v>
      </c>
      <c r="LC4" s="12">
        <v>0</v>
      </c>
      <c r="LD4" s="12">
        <v>0</v>
      </c>
      <c r="LE4" s="12">
        <v>0</v>
      </c>
      <c r="LF4" s="12">
        <v>0</v>
      </c>
      <c r="LG4" s="12">
        <v>0</v>
      </c>
      <c r="LH4" s="12">
        <v>294720</v>
      </c>
      <c r="LI4" s="12">
        <v>10129526</v>
      </c>
      <c r="LJ4" s="12">
        <v>0</v>
      </c>
      <c r="LK4" s="11" t="s">
        <v>112</v>
      </c>
      <c r="LL4" s="12">
        <v>0</v>
      </c>
      <c r="LM4" s="12">
        <v>0</v>
      </c>
      <c r="LN4" s="12">
        <v>0</v>
      </c>
      <c r="LO4" s="12">
        <v>0</v>
      </c>
      <c r="LP4" s="12">
        <v>0</v>
      </c>
      <c r="LQ4" s="12">
        <v>0</v>
      </c>
      <c r="LR4" s="12">
        <v>0</v>
      </c>
      <c r="LS4" s="12">
        <v>0</v>
      </c>
      <c r="LT4" s="12">
        <v>0</v>
      </c>
      <c r="LU4" s="12">
        <v>0</v>
      </c>
      <c r="LV4" s="12">
        <v>0</v>
      </c>
      <c r="LW4" s="12">
        <v>0</v>
      </c>
      <c r="LX4" s="12">
        <v>0</v>
      </c>
      <c r="LY4" s="12">
        <v>0</v>
      </c>
      <c r="LZ4" s="12">
        <v>0</v>
      </c>
      <c r="MA4" s="12">
        <v>0</v>
      </c>
      <c r="MB4" s="12">
        <v>0</v>
      </c>
      <c r="MC4" s="12">
        <v>0</v>
      </c>
      <c r="MD4" s="12">
        <v>0</v>
      </c>
      <c r="ME4" s="12">
        <v>0</v>
      </c>
      <c r="MF4" s="12">
        <v>0</v>
      </c>
      <c r="MG4" s="12">
        <v>0</v>
      </c>
      <c r="MH4" s="12">
        <v>0</v>
      </c>
      <c r="MI4" s="12">
        <v>0</v>
      </c>
      <c r="MJ4" s="12">
        <v>0</v>
      </c>
      <c r="MK4" s="12">
        <v>0</v>
      </c>
      <c r="ML4" s="12">
        <v>0</v>
      </c>
      <c r="MM4" s="12">
        <v>0</v>
      </c>
      <c r="MN4" s="12">
        <v>0</v>
      </c>
      <c r="MO4" s="12">
        <v>0</v>
      </c>
      <c r="MP4" s="12">
        <v>0</v>
      </c>
      <c r="MQ4" s="12">
        <v>0</v>
      </c>
      <c r="MR4" s="12">
        <v>0</v>
      </c>
      <c r="MS4" s="12">
        <v>0</v>
      </c>
      <c r="MT4" s="12">
        <v>0</v>
      </c>
      <c r="MU4" s="12">
        <v>0</v>
      </c>
      <c r="MV4" s="12">
        <v>0</v>
      </c>
      <c r="MW4" s="12">
        <v>0</v>
      </c>
      <c r="MX4" s="12">
        <v>0</v>
      </c>
      <c r="MY4" s="12">
        <v>0</v>
      </c>
      <c r="MZ4" s="12">
        <v>0</v>
      </c>
      <c r="NA4" s="12">
        <v>0</v>
      </c>
      <c r="NB4" s="12">
        <v>0</v>
      </c>
      <c r="NC4" s="12">
        <v>0</v>
      </c>
      <c r="ND4" s="12">
        <v>0</v>
      </c>
      <c r="NE4" s="12">
        <v>0</v>
      </c>
      <c r="NF4" s="12">
        <v>0</v>
      </c>
      <c r="NG4" s="11" t="s">
        <v>112</v>
      </c>
      <c r="NH4" s="12">
        <v>0</v>
      </c>
      <c r="NI4" s="12">
        <v>0</v>
      </c>
      <c r="NJ4" s="12">
        <v>0</v>
      </c>
      <c r="NK4" s="12">
        <v>0</v>
      </c>
      <c r="NL4" s="12">
        <v>0</v>
      </c>
      <c r="NM4" s="12">
        <v>0</v>
      </c>
      <c r="NN4" s="12">
        <v>0</v>
      </c>
      <c r="NO4" s="12">
        <v>0</v>
      </c>
      <c r="NP4" s="12">
        <v>0</v>
      </c>
      <c r="NQ4" s="12">
        <v>0</v>
      </c>
      <c r="NR4" s="12">
        <v>0</v>
      </c>
      <c r="NS4" s="12">
        <v>0</v>
      </c>
      <c r="NT4" s="12">
        <v>0</v>
      </c>
      <c r="NU4" s="12">
        <v>0</v>
      </c>
      <c r="NV4" s="12">
        <v>0</v>
      </c>
      <c r="NW4" s="12">
        <v>0</v>
      </c>
      <c r="NX4" s="12">
        <v>0</v>
      </c>
      <c r="NY4" s="12">
        <v>0</v>
      </c>
      <c r="NZ4" s="12">
        <v>0</v>
      </c>
      <c r="OA4" s="12">
        <v>0</v>
      </c>
      <c r="OB4" s="12">
        <v>0</v>
      </c>
      <c r="OC4" s="12">
        <v>0</v>
      </c>
      <c r="OD4" s="12">
        <v>0</v>
      </c>
      <c r="OE4" s="12">
        <v>0</v>
      </c>
      <c r="OF4" s="12">
        <v>0</v>
      </c>
      <c r="OG4" s="12">
        <v>0</v>
      </c>
      <c r="OH4" s="12">
        <v>0</v>
      </c>
      <c r="OI4" s="12">
        <v>0</v>
      </c>
      <c r="OJ4" s="12">
        <v>0</v>
      </c>
      <c r="OK4" s="12">
        <v>0</v>
      </c>
      <c r="OL4" s="12">
        <v>0</v>
      </c>
      <c r="OM4" s="12">
        <v>0</v>
      </c>
      <c r="ON4" s="12">
        <v>0</v>
      </c>
      <c r="OO4" s="12">
        <v>0</v>
      </c>
      <c r="OP4" s="12">
        <v>0</v>
      </c>
      <c r="OQ4" s="12">
        <v>0</v>
      </c>
      <c r="OR4" s="12">
        <v>0</v>
      </c>
      <c r="OS4" s="12">
        <v>0</v>
      </c>
      <c r="OT4" s="12">
        <v>0</v>
      </c>
      <c r="OU4" s="12">
        <v>0</v>
      </c>
      <c r="OV4" s="12">
        <v>0</v>
      </c>
      <c r="OW4" s="12">
        <v>0</v>
      </c>
      <c r="OX4" s="12">
        <v>0</v>
      </c>
      <c r="OY4" s="12">
        <v>0</v>
      </c>
      <c r="OZ4" s="12">
        <v>0</v>
      </c>
      <c r="PA4" s="11" t="s">
        <v>112</v>
      </c>
      <c r="PB4" s="12">
        <v>0</v>
      </c>
      <c r="PC4" s="12">
        <v>0</v>
      </c>
      <c r="PD4" s="12">
        <v>0</v>
      </c>
      <c r="PE4" s="12">
        <v>0</v>
      </c>
      <c r="PF4" s="12">
        <v>0</v>
      </c>
      <c r="PG4" s="12">
        <v>0</v>
      </c>
      <c r="PH4" s="12">
        <v>0</v>
      </c>
      <c r="PI4" s="12">
        <v>0</v>
      </c>
      <c r="PJ4" s="12">
        <v>0</v>
      </c>
      <c r="PK4" s="12">
        <v>0</v>
      </c>
      <c r="PL4" s="12">
        <v>0</v>
      </c>
      <c r="PM4" s="12">
        <v>0</v>
      </c>
      <c r="PN4" s="12">
        <v>0</v>
      </c>
      <c r="PO4" s="12">
        <v>0</v>
      </c>
      <c r="PP4" s="12">
        <v>0</v>
      </c>
      <c r="PQ4" s="12">
        <v>0</v>
      </c>
      <c r="PR4" s="12">
        <v>0</v>
      </c>
      <c r="PS4" s="12">
        <v>0</v>
      </c>
      <c r="PT4" s="12">
        <v>0</v>
      </c>
      <c r="PU4" s="12">
        <v>0</v>
      </c>
      <c r="PV4" s="12">
        <v>0</v>
      </c>
      <c r="PW4" s="12">
        <v>0</v>
      </c>
      <c r="PX4" s="12">
        <v>0</v>
      </c>
      <c r="PY4" s="12">
        <v>0</v>
      </c>
      <c r="PZ4" s="12">
        <v>0</v>
      </c>
      <c r="QA4" s="12">
        <v>0</v>
      </c>
      <c r="QB4" s="12">
        <v>0</v>
      </c>
      <c r="QC4" s="12">
        <v>0</v>
      </c>
      <c r="QD4" s="12">
        <v>0</v>
      </c>
      <c r="QE4" s="12">
        <v>0</v>
      </c>
      <c r="QF4" s="12">
        <v>0</v>
      </c>
      <c r="QG4" s="12">
        <v>0</v>
      </c>
      <c r="QH4" s="12">
        <v>0</v>
      </c>
      <c r="QI4" s="12">
        <v>0</v>
      </c>
      <c r="QJ4" s="12">
        <v>0</v>
      </c>
      <c r="QK4" s="11" t="s">
        <v>112</v>
      </c>
      <c r="QL4" s="12">
        <v>0</v>
      </c>
      <c r="QM4" s="12">
        <v>0</v>
      </c>
      <c r="QN4" s="12">
        <v>0</v>
      </c>
      <c r="QO4" s="12">
        <v>0</v>
      </c>
      <c r="QP4" s="12">
        <v>0</v>
      </c>
      <c r="QQ4" s="12">
        <v>0</v>
      </c>
      <c r="QR4" s="12">
        <v>0</v>
      </c>
      <c r="QS4" s="12">
        <v>0</v>
      </c>
      <c r="QT4" s="12">
        <v>0</v>
      </c>
      <c r="QU4" s="12">
        <v>0</v>
      </c>
      <c r="QV4" s="12">
        <v>0</v>
      </c>
      <c r="QW4" s="12">
        <v>0</v>
      </c>
      <c r="QX4" s="12">
        <v>0</v>
      </c>
      <c r="QY4" s="12">
        <v>0</v>
      </c>
      <c r="QZ4" s="12">
        <v>0</v>
      </c>
      <c r="RA4" s="12">
        <v>0</v>
      </c>
      <c r="RB4" s="12">
        <v>0</v>
      </c>
      <c r="RC4" s="12">
        <v>0</v>
      </c>
      <c r="RD4" s="12">
        <v>0</v>
      </c>
      <c r="RE4" s="12">
        <v>0</v>
      </c>
      <c r="RF4" s="12">
        <v>0</v>
      </c>
      <c r="RG4" s="12">
        <v>0</v>
      </c>
      <c r="RH4" s="12">
        <v>0</v>
      </c>
      <c r="RI4" s="12">
        <v>0</v>
      </c>
      <c r="RJ4" s="12">
        <v>0</v>
      </c>
      <c r="RK4" s="12">
        <v>0</v>
      </c>
      <c r="RL4" s="12">
        <v>0</v>
      </c>
      <c r="RM4" s="12">
        <v>0</v>
      </c>
    </row>
    <row x14ac:dyDescent="0.25" r="5" customHeight="1" ht="18" customFormat="1" s="8">
      <c r="A5" s="9" t="s">
        <v>792</v>
      </c>
      <c r="B5" s="12">
        <v>55485</v>
      </c>
      <c r="C5" s="16" t="s">
        <v>793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328560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11318892</v>
      </c>
      <c r="W5" s="12">
        <v>0</v>
      </c>
      <c r="X5" s="12">
        <v>0</v>
      </c>
      <c r="Y5" s="12">
        <v>0</v>
      </c>
      <c r="Z5" s="12">
        <v>328560</v>
      </c>
      <c r="AA5" s="12">
        <v>11318892</v>
      </c>
      <c r="AB5" s="12">
        <v>41016</v>
      </c>
      <c r="AC5" s="11" t="s">
        <v>794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242880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8367216</v>
      </c>
      <c r="BE5" s="12">
        <v>0</v>
      </c>
      <c r="BF5" s="12">
        <v>0</v>
      </c>
      <c r="BG5" s="12">
        <v>0</v>
      </c>
      <c r="BH5" s="12">
        <v>242880</v>
      </c>
      <c r="BI5" s="12">
        <v>8367216</v>
      </c>
      <c r="BJ5" s="12">
        <v>2432</v>
      </c>
      <c r="BK5" s="11" t="s">
        <v>795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14400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496080</v>
      </c>
      <c r="CK5" s="12">
        <v>0</v>
      </c>
      <c r="CL5" s="12">
        <v>0</v>
      </c>
      <c r="CM5" s="12">
        <v>0</v>
      </c>
      <c r="CN5" s="12">
        <v>14400</v>
      </c>
      <c r="CO5" s="12">
        <v>496080</v>
      </c>
      <c r="CP5" s="12">
        <v>29200</v>
      </c>
      <c r="CQ5" s="11" t="s">
        <v>796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3120</v>
      </c>
      <c r="DF5" s="12">
        <v>0</v>
      </c>
      <c r="DG5" s="12">
        <v>170400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86517</v>
      </c>
      <c r="EE5" s="12">
        <v>0</v>
      </c>
      <c r="EF5" s="12">
        <v>5870280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173520</v>
      </c>
      <c r="EQ5" s="12">
        <v>5956797</v>
      </c>
      <c r="ER5" s="12">
        <v>21499</v>
      </c>
      <c r="ES5" s="11" t="s">
        <v>797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3120</v>
      </c>
      <c r="FH5" s="12">
        <v>0</v>
      </c>
      <c r="FI5" s="12">
        <v>124800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86517</v>
      </c>
      <c r="GI5" s="12">
        <v>0</v>
      </c>
      <c r="GJ5" s="12">
        <v>4299360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127920</v>
      </c>
      <c r="GW5" s="12">
        <v>4385877</v>
      </c>
      <c r="GX5" s="12">
        <v>21337</v>
      </c>
      <c r="GY5" s="11" t="s">
        <v>728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3120</v>
      </c>
      <c r="HO5" s="12">
        <v>0</v>
      </c>
      <c r="HP5" s="12">
        <v>123840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86517</v>
      </c>
      <c r="IS5" s="12">
        <v>0</v>
      </c>
      <c r="IT5" s="12">
        <v>4266288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126960</v>
      </c>
      <c r="JI5" s="12">
        <v>4352805</v>
      </c>
      <c r="JJ5" s="12">
        <v>2086</v>
      </c>
      <c r="JK5" s="11" t="s">
        <v>798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3120</v>
      </c>
      <c r="JX5" s="12">
        <v>9840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86517</v>
      </c>
      <c r="KV5" s="12">
        <v>338988</v>
      </c>
      <c r="KW5" s="12">
        <v>0</v>
      </c>
      <c r="KX5" s="12">
        <v>0</v>
      </c>
      <c r="KY5" s="12">
        <v>0</v>
      </c>
      <c r="KZ5" s="12">
        <v>0</v>
      </c>
      <c r="LA5" s="12">
        <v>0</v>
      </c>
      <c r="LB5" s="12">
        <v>0</v>
      </c>
      <c r="LC5" s="12">
        <v>0</v>
      </c>
      <c r="LD5" s="12">
        <v>0</v>
      </c>
      <c r="LE5" s="12">
        <v>0</v>
      </c>
      <c r="LF5" s="12">
        <v>0</v>
      </c>
      <c r="LG5" s="12">
        <v>0</v>
      </c>
      <c r="LH5" s="12">
        <v>12960</v>
      </c>
      <c r="LI5" s="12">
        <v>425505</v>
      </c>
      <c r="LJ5" s="12">
        <v>391</v>
      </c>
      <c r="LK5" s="11" t="s">
        <v>799</v>
      </c>
      <c r="LL5" s="12">
        <v>0</v>
      </c>
      <c r="LM5" s="12">
        <v>0</v>
      </c>
      <c r="LN5" s="12">
        <v>0</v>
      </c>
      <c r="LO5" s="12">
        <v>0</v>
      </c>
      <c r="LP5" s="12">
        <v>0</v>
      </c>
      <c r="LQ5" s="12">
        <v>0</v>
      </c>
      <c r="LR5" s="12">
        <v>0</v>
      </c>
      <c r="LS5" s="12">
        <v>0</v>
      </c>
      <c r="LT5" s="12">
        <v>0</v>
      </c>
      <c r="LU5" s="12">
        <v>2880</v>
      </c>
      <c r="LV5" s="12">
        <v>0</v>
      </c>
      <c r="LW5" s="12">
        <v>0</v>
      </c>
      <c r="LX5" s="12">
        <v>0</v>
      </c>
      <c r="LY5" s="12">
        <v>0</v>
      </c>
      <c r="LZ5" s="12">
        <v>0</v>
      </c>
      <c r="MA5" s="12">
        <v>0</v>
      </c>
      <c r="MB5" s="12">
        <v>0</v>
      </c>
      <c r="MC5" s="12">
        <v>0</v>
      </c>
      <c r="MD5" s="12">
        <v>0</v>
      </c>
      <c r="ME5" s="12">
        <v>0</v>
      </c>
      <c r="MF5" s="12">
        <v>0</v>
      </c>
      <c r="MG5" s="12">
        <v>0</v>
      </c>
      <c r="MH5" s="12">
        <v>0</v>
      </c>
      <c r="MI5" s="12">
        <v>0</v>
      </c>
      <c r="MJ5" s="12">
        <v>0</v>
      </c>
      <c r="MK5" s="12">
        <v>0</v>
      </c>
      <c r="ML5" s="12">
        <v>0</v>
      </c>
      <c r="MM5" s="12">
        <v>0</v>
      </c>
      <c r="MN5" s="12">
        <v>0</v>
      </c>
      <c r="MO5" s="12">
        <v>0</v>
      </c>
      <c r="MP5" s="12">
        <v>0</v>
      </c>
      <c r="MQ5" s="12">
        <v>79862</v>
      </c>
      <c r="MR5" s="12">
        <v>0</v>
      </c>
      <c r="MS5" s="12">
        <v>0</v>
      </c>
      <c r="MT5" s="12">
        <v>0</v>
      </c>
      <c r="MU5" s="12">
        <v>0</v>
      </c>
      <c r="MV5" s="12">
        <v>0</v>
      </c>
      <c r="MW5" s="12">
        <v>0</v>
      </c>
      <c r="MX5" s="12">
        <v>0</v>
      </c>
      <c r="MY5" s="12">
        <v>0</v>
      </c>
      <c r="MZ5" s="12">
        <v>0</v>
      </c>
      <c r="NA5" s="12">
        <v>0</v>
      </c>
      <c r="NB5" s="12">
        <v>0</v>
      </c>
      <c r="NC5" s="12">
        <v>0</v>
      </c>
      <c r="ND5" s="12">
        <v>2880</v>
      </c>
      <c r="NE5" s="12">
        <v>79862</v>
      </c>
      <c r="NF5" s="12">
        <v>326</v>
      </c>
      <c r="NG5" s="11" t="s">
        <v>800</v>
      </c>
      <c r="NH5" s="12">
        <v>0</v>
      </c>
      <c r="NI5" s="12">
        <v>0</v>
      </c>
      <c r="NJ5" s="12">
        <v>0</v>
      </c>
      <c r="NK5" s="12">
        <v>0</v>
      </c>
      <c r="NL5" s="12">
        <v>0</v>
      </c>
      <c r="NM5" s="12">
        <v>0</v>
      </c>
      <c r="NN5" s="12">
        <v>0</v>
      </c>
      <c r="NO5" s="12">
        <v>0</v>
      </c>
      <c r="NP5" s="12">
        <v>2400</v>
      </c>
      <c r="NQ5" s="12">
        <v>0</v>
      </c>
      <c r="NR5" s="12">
        <v>0</v>
      </c>
      <c r="NS5" s="12">
        <v>0</v>
      </c>
      <c r="NT5" s="12">
        <v>0</v>
      </c>
      <c r="NU5" s="12">
        <v>0</v>
      </c>
      <c r="NV5" s="12">
        <v>0</v>
      </c>
      <c r="NW5" s="12">
        <v>0</v>
      </c>
      <c r="NX5" s="12">
        <v>0</v>
      </c>
      <c r="NY5" s="12">
        <v>0</v>
      </c>
      <c r="NZ5" s="12">
        <v>0</v>
      </c>
      <c r="OA5" s="12">
        <v>0</v>
      </c>
      <c r="OB5" s="12">
        <v>0</v>
      </c>
      <c r="OC5" s="12">
        <v>0</v>
      </c>
      <c r="OD5" s="12">
        <v>0</v>
      </c>
      <c r="OE5" s="12">
        <v>0</v>
      </c>
      <c r="OF5" s="12">
        <v>0</v>
      </c>
      <c r="OG5" s="12">
        <v>0</v>
      </c>
      <c r="OH5" s="12">
        <v>0</v>
      </c>
      <c r="OI5" s="12">
        <v>0</v>
      </c>
      <c r="OJ5" s="12">
        <v>0</v>
      </c>
      <c r="OK5" s="12">
        <v>66552</v>
      </c>
      <c r="OL5" s="12">
        <v>0</v>
      </c>
      <c r="OM5" s="12">
        <v>0</v>
      </c>
      <c r="ON5" s="12">
        <v>0</v>
      </c>
      <c r="OO5" s="12">
        <v>0</v>
      </c>
      <c r="OP5" s="12">
        <v>0</v>
      </c>
      <c r="OQ5" s="12">
        <v>0</v>
      </c>
      <c r="OR5" s="12">
        <v>0</v>
      </c>
      <c r="OS5" s="12">
        <v>0</v>
      </c>
      <c r="OT5" s="12">
        <v>0</v>
      </c>
      <c r="OU5" s="12">
        <v>0</v>
      </c>
      <c r="OV5" s="12">
        <v>0</v>
      </c>
      <c r="OW5" s="12">
        <v>0</v>
      </c>
      <c r="OX5" s="12">
        <v>2400</v>
      </c>
      <c r="OY5" s="12">
        <v>66552</v>
      </c>
      <c r="OZ5" s="12">
        <v>326</v>
      </c>
      <c r="PA5" s="11" t="s">
        <v>800</v>
      </c>
      <c r="PB5" s="12">
        <v>0</v>
      </c>
      <c r="PC5" s="12">
        <v>0</v>
      </c>
      <c r="PD5" s="12">
        <v>0</v>
      </c>
      <c r="PE5" s="12">
        <v>0</v>
      </c>
      <c r="PF5" s="12">
        <v>0</v>
      </c>
      <c r="PG5" s="12">
        <v>2400</v>
      </c>
      <c r="PH5" s="12">
        <v>0</v>
      </c>
      <c r="PI5" s="12">
        <v>0</v>
      </c>
      <c r="PJ5" s="12">
        <v>0</v>
      </c>
      <c r="PK5" s="12">
        <v>0</v>
      </c>
      <c r="PL5" s="12">
        <v>0</v>
      </c>
      <c r="PM5" s="12">
        <v>0</v>
      </c>
      <c r="PN5" s="12">
        <v>0</v>
      </c>
      <c r="PO5" s="12">
        <v>0</v>
      </c>
      <c r="PP5" s="12">
        <v>0</v>
      </c>
      <c r="PQ5" s="12">
        <v>0</v>
      </c>
      <c r="PR5" s="12">
        <v>0</v>
      </c>
      <c r="PS5" s="12">
        <v>0</v>
      </c>
      <c r="PT5" s="12">
        <v>0</v>
      </c>
      <c r="PU5" s="12">
        <v>0</v>
      </c>
      <c r="PV5" s="12">
        <v>0</v>
      </c>
      <c r="PW5" s="12">
        <v>66552</v>
      </c>
      <c r="PX5" s="12">
        <v>0</v>
      </c>
      <c r="PY5" s="12">
        <v>0</v>
      </c>
      <c r="PZ5" s="12">
        <v>0</v>
      </c>
      <c r="QA5" s="12">
        <v>0</v>
      </c>
      <c r="QB5" s="12">
        <v>0</v>
      </c>
      <c r="QC5" s="12">
        <v>0</v>
      </c>
      <c r="QD5" s="12">
        <v>0</v>
      </c>
      <c r="QE5" s="12">
        <v>0</v>
      </c>
      <c r="QF5" s="12">
        <v>0</v>
      </c>
      <c r="QG5" s="12">
        <v>0</v>
      </c>
      <c r="QH5" s="12">
        <v>2400</v>
      </c>
      <c r="QI5" s="12">
        <v>66552</v>
      </c>
      <c r="QJ5" s="12">
        <v>228</v>
      </c>
      <c r="QK5" s="11" t="s">
        <v>801</v>
      </c>
      <c r="QL5" s="12">
        <v>0</v>
      </c>
      <c r="QM5" s="12">
        <v>0</v>
      </c>
      <c r="QN5" s="12">
        <v>1680</v>
      </c>
      <c r="QO5" s="12">
        <v>0</v>
      </c>
      <c r="QP5" s="12">
        <v>0</v>
      </c>
      <c r="QQ5" s="12">
        <v>0</v>
      </c>
      <c r="QR5" s="12">
        <v>0</v>
      </c>
      <c r="QS5" s="12">
        <v>0</v>
      </c>
      <c r="QT5" s="12">
        <v>0</v>
      </c>
      <c r="QU5" s="12">
        <v>0</v>
      </c>
      <c r="QV5" s="12">
        <v>0</v>
      </c>
      <c r="QW5" s="12">
        <v>0</v>
      </c>
      <c r="QX5" s="12">
        <v>0</v>
      </c>
      <c r="QY5" s="12">
        <v>0</v>
      </c>
      <c r="QZ5" s="12">
        <v>0</v>
      </c>
      <c r="RA5" s="12">
        <v>46586</v>
      </c>
      <c r="RB5" s="12">
        <v>0</v>
      </c>
      <c r="RC5" s="12">
        <v>0</v>
      </c>
      <c r="RD5" s="12">
        <v>0</v>
      </c>
      <c r="RE5" s="12">
        <v>0</v>
      </c>
      <c r="RF5" s="12">
        <v>0</v>
      </c>
      <c r="RG5" s="12">
        <v>0</v>
      </c>
      <c r="RH5" s="12">
        <v>0</v>
      </c>
      <c r="RI5" s="12">
        <v>0</v>
      </c>
      <c r="RJ5" s="12">
        <v>0</v>
      </c>
      <c r="RK5" s="12">
        <v>0</v>
      </c>
      <c r="RL5" s="12">
        <v>1680</v>
      </c>
      <c r="RM5" s="12">
        <v>46586</v>
      </c>
    </row>
    <row x14ac:dyDescent="0.25" r="6" customHeight="1" ht="18" customFormat="1" s="8">
      <c r="A6" s="9" t="s">
        <v>802</v>
      </c>
      <c r="B6" s="12">
        <v>76163</v>
      </c>
      <c r="C6" s="16" t="s">
        <v>783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237840</v>
      </c>
      <c r="M6" s="12">
        <v>111120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10036848</v>
      </c>
      <c r="X6" s="12">
        <v>5500440</v>
      </c>
      <c r="Y6" s="12">
        <v>0</v>
      </c>
      <c r="Z6" s="12">
        <v>348960</v>
      </c>
      <c r="AA6" s="12">
        <v>15537288</v>
      </c>
      <c r="AB6" s="12">
        <v>76208</v>
      </c>
      <c r="AC6" s="11" t="s">
        <v>467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368400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15546480</v>
      </c>
      <c r="BF6" s="12">
        <v>0</v>
      </c>
      <c r="BG6" s="12">
        <v>0</v>
      </c>
      <c r="BH6" s="12">
        <v>368400</v>
      </c>
      <c r="BI6" s="12">
        <v>15546480</v>
      </c>
      <c r="BJ6" s="12">
        <v>0</v>
      </c>
      <c r="BK6" s="11" t="s">
        <v>112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76168</v>
      </c>
      <c r="CQ6" s="11" t="s">
        <v>783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70080</v>
      </c>
      <c r="DI6" s="12">
        <v>254160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2957376</v>
      </c>
      <c r="EH6" s="12">
        <v>12580920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324240</v>
      </c>
      <c r="EQ6" s="12">
        <v>15538296</v>
      </c>
      <c r="ER6" s="12">
        <v>76171</v>
      </c>
      <c r="ES6" s="11" t="s">
        <v>485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74880</v>
      </c>
      <c r="FK6" s="12">
        <v>250080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3159936</v>
      </c>
      <c r="GL6" s="12">
        <v>12378960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324960</v>
      </c>
      <c r="GW6" s="12">
        <v>15538896</v>
      </c>
      <c r="GX6" s="12">
        <v>71711</v>
      </c>
      <c r="GY6" s="11" t="s">
        <v>803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61200</v>
      </c>
      <c r="HR6" s="12">
        <v>243360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0</v>
      </c>
      <c r="IQ6" s="12">
        <v>0</v>
      </c>
      <c r="IR6" s="12">
        <v>0</v>
      </c>
      <c r="IS6" s="12">
        <v>0</v>
      </c>
      <c r="IT6" s="12">
        <v>0</v>
      </c>
      <c r="IU6" s="12">
        <v>2582640</v>
      </c>
      <c r="IV6" s="12">
        <v>12046320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304560</v>
      </c>
      <c r="JI6" s="12">
        <v>14628960</v>
      </c>
      <c r="JJ6" s="12">
        <v>71571</v>
      </c>
      <c r="JK6" s="11" t="s">
        <v>804</v>
      </c>
      <c r="JL6" s="12">
        <v>0</v>
      </c>
      <c r="JM6" s="12">
        <v>0</v>
      </c>
      <c r="JN6" s="12">
        <v>0</v>
      </c>
      <c r="JO6" s="12">
        <v>0</v>
      </c>
      <c r="JP6" s="12">
        <v>0</v>
      </c>
      <c r="JQ6" s="12">
        <v>0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294960</v>
      </c>
      <c r="KA6" s="12">
        <v>0</v>
      </c>
      <c r="KB6" s="12">
        <v>0</v>
      </c>
      <c r="KC6" s="12">
        <v>0</v>
      </c>
      <c r="KD6" s="12">
        <v>0</v>
      </c>
      <c r="KE6" s="12">
        <v>0</v>
      </c>
      <c r="KF6" s="12">
        <v>0</v>
      </c>
      <c r="KG6" s="12">
        <v>0</v>
      </c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0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14600520</v>
      </c>
      <c r="KY6" s="12">
        <v>0</v>
      </c>
      <c r="KZ6" s="12">
        <v>0</v>
      </c>
      <c r="LA6" s="12">
        <v>0</v>
      </c>
      <c r="LB6" s="12">
        <v>0</v>
      </c>
      <c r="LC6" s="12">
        <v>0</v>
      </c>
      <c r="LD6" s="12">
        <v>0</v>
      </c>
      <c r="LE6" s="12">
        <v>0</v>
      </c>
      <c r="LF6" s="12">
        <v>0</v>
      </c>
      <c r="LG6" s="12">
        <v>0</v>
      </c>
      <c r="LH6" s="12">
        <v>294960</v>
      </c>
      <c r="LI6" s="12">
        <v>14600520</v>
      </c>
      <c r="LJ6" s="12">
        <v>47928</v>
      </c>
      <c r="LK6" s="11" t="s">
        <v>805</v>
      </c>
      <c r="LL6" s="12">
        <v>0</v>
      </c>
      <c r="LM6" s="12">
        <v>0</v>
      </c>
      <c r="LN6" s="12">
        <v>0</v>
      </c>
      <c r="LO6" s="12">
        <v>0</v>
      </c>
      <c r="LP6" s="12">
        <v>0</v>
      </c>
      <c r="LQ6" s="12">
        <v>0</v>
      </c>
      <c r="LR6" s="12">
        <v>0</v>
      </c>
      <c r="LS6" s="12">
        <v>0</v>
      </c>
      <c r="LT6" s="12">
        <v>0</v>
      </c>
      <c r="LU6" s="12">
        <v>0</v>
      </c>
      <c r="LV6" s="12">
        <v>0</v>
      </c>
      <c r="LW6" s="12">
        <v>197520</v>
      </c>
      <c r="LX6" s="12">
        <v>0</v>
      </c>
      <c r="LY6" s="12">
        <v>0</v>
      </c>
      <c r="LZ6" s="12">
        <v>0</v>
      </c>
      <c r="MA6" s="12">
        <v>0</v>
      </c>
      <c r="MB6" s="12">
        <v>0</v>
      </c>
      <c r="MC6" s="12">
        <v>0</v>
      </c>
      <c r="MD6" s="12">
        <v>0</v>
      </c>
      <c r="ME6" s="12">
        <v>0</v>
      </c>
      <c r="MF6" s="12">
        <v>0</v>
      </c>
      <c r="MG6" s="12">
        <v>0</v>
      </c>
      <c r="MH6" s="12">
        <v>0</v>
      </c>
      <c r="MI6" s="12">
        <v>0</v>
      </c>
      <c r="MJ6" s="12">
        <v>0</v>
      </c>
      <c r="MK6" s="12">
        <v>0</v>
      </c>
      <c r="ML6" s="12">
        <v>0</v>
      </c>
      <c r="MM6" s="12">
        <v>0</v>
      </c>
      <c r="MN6" s="12">
        <v>0</v>
      </c>
      <c r="MO6" s="12">
        <v>0</v>
      </c>
      <c r="MP6" s="12">
        <v>0</v>
      </c>
      <c r="MQ6" s="12">
        <v>0</v>
      </c>
      <c r="MR6" s="12">
        <v>0</v>
      </c>
      <c r="MS6" s="12">
        <v>9777240</v>
      </c>
      <c r="MT6" s="12">
        <v>0</v>
      </c>
      <c r="MU6" s="12">
        <v>0</v>
      </c>
      <c r="MV6" s="12">
        <v>0</v>
      </c>
      <c r="MW6" s="12">
        <v>0</v>
      </c>
      <c r="MX6" s="12">
        <v>0</v>
      </c>
      <c r="MY6" s="12">
        <v>0</v>
      </c>
      <c r="MZ6" s="12">
        <v>0</v>
      </c>
      <c r="NA6" s="12">
        <v>0</v>
      </c>
      <c r="NB6" s="12">
        <v>0</v>
      </c>
      <c r="NC6" s="12">
        <v>0</v>
      </c>
      <c r="ND6" s="12">
        <v>197520</v>
      </c>
      <c r="NE6" s="12">
        <v>9777240</v>
      </c>
      <c r="NF6" s="12">
        <v>52354</v>
      </c>
      <c r="NG6" s="11" t="s">
        <v>806</v>
      </c>
      <c r="NH6" s="12">
        <v>0</v>
      </c>
      <c r="NI6" s="12">
        <v>0</v>
      </c>
      <c r="NJ6" s="12">
        <v>0</v>
      </c>
      <c r="NK6" s="12">
        <v>0</v>
      </c>
      <c r="NL6" s="12">
        <v>0</v>
      </c>
      <c r="NM6" s="12">
        <v>0</v>
      </c>
      <c r="NN6" s="12">
        <v>0</v>
      </c>
      <c r="NO6" s="12">
        <v>0</v>
      </c>
      <c r="NP6" s="12">
        <v>0</v>
      </c>
      <c r="NQ6" s="12">
        <v>0</v>
      </c>
      <c r="NR6" s="12">
        <v>215760</v>
      </c>
      <c r="NS6" s="12">
        <v>0</v>
      </c>
      <c r="NT6" s="12">
        <v>0</v>
      </c>
      <c r="NU6" s="12">
        <v>0</v>
      </c>
      <c r="NV6" s="12">
        <v>0</v>
      </c>
      <c r="NW6" s="12">
        <v>0</v>
      </c>
      <c r="NX6" s="12">
        <v>0</v>
      </c>
      <c r="NY6" s="12">
        <v>0</v>
      </c>
      <c r="NZ6" s="12">
        <v>0</v>
      </c>
      <c r="OA6" s="12">
        <v>0</v>
      </c>
      <c r="OB6" s="12">
        <v>0</v>
      </c>
      <c r="OC6" s="12">
        <v>0</v>
      </c>
      <c r="OD6" s="12">
        <v>0</v>
      </c>
      <c r="OE6" s="12">
        <v>0</v>
      </c>
      <c r="OF6" s="12">
        <v>0</v>
      </c>
      <c r="OG6" s="12">
        <v>0</v>
      </c>
      <c r="OH6" s="12">
        <v>0</v>
      </c>
      <c r="OI6" s="12">
        <v>0</v>
      </c>
      <c r="OJ6" s="12">
        <v>0</v>
      </c>
      <c r="OK6" s="12">
        <v>0</v>
      </c>
      <c r="OL6" s="12">
        <v>0</v>
      </c>
      <c r="OM6" s="12">
        <v>10680120</v>
      </c>
      <c r="ON6" s="12">
        <v>0</v>
      </c>
      <c r="OO6" s="12">
        <v>0</v>
      </c>
      <c r="OP6" s="12">
        <v>0</v>
      </c>
      <c r="OQ6" s="12">
        <v>0</v>
      </c>
      <c r="OR6" s="12">
        <v>0</v>
      </c>
      <c r="OS6" s="12">
        <v>0</v>
      </c>
      <c r="OT6" s="12">
        <v>0</v>
      </c>
      <c r="OU6" s="12">
        <v>0</v>
      </c>
      <c r="OV6" s="12">
        <v>0</v>
      </c>
      <c r="OW6" s="12">
        <v>0</v>
      </c>
      <c r="OX6" s="12">
        <v>215760</v>
      </c>
      <c r="OY6" s="12">
        <v>10680120</v>
      </c>
      <c r="OZ6" s="12">
        <v>50082</v>
      </c>
      <c r="PA6" s="11" t="s">
        <v>807</v>
      </c>
      <c r="PB6" s="12">
        <v>0</v>
      </c>
      <c r="PC6" s="12">
        <v>0</v>
      </c>
      <c r="PD6" s="12">
        <v>0</v>
      </c>
      <c r="PE6" s="12">
        <v>0</v>
      </c>
      <c r="PF6" s="12">
        <v>0</v>
      </c>
      <c r="PG6" s="12">
        <v>0</v>
      </c>
      <c r="PH6" s="12">
        <v>0</v>
      </c>
      <c r="PI6" s="12">
        <v>206400</v>
      </c>
      <c r="PJ6" s="12">
        <v>0</v>
      </c>
      <c r="PK6" s="12">
        <v>0</v>
      </c>
      <c r="PL6" s="12">
        <v>0</v>
      </c>
      <c r="PM6" s="12">
        <v>0</v>
      </c>
      <c r="PN6" s="12">
        <v>0</v>
      </c>
      <c r="PO6" s="12">
        <v>0</v>
      </c>
      <c r="PP6" s="12">
        <v>0</v>
      </c>
      <c r="PQ6" s="12">
        <v>0</v>
      </c>
      <c r="PR6" s="12">
        <v>0</v>
      </c>
      <c r="PS6" s="12">
        <v>0</v>
      </c>
      <c r="PT6" s="12">
        <v>0</v>
      </c>
      <c r="PU6" s="12">
        <v>0</v>
      </c>
      <c r="PV6" s="12">
        <v>0</v>
      </c>
      <c r="PW6" s="12">
        <v>0</v>
      </c>
      <c r="PX6" s="12">
        <v>0</v>
      </c>
      <c r="PY6" s="12">
        <v>10216800</v>
      </c>
      <c r="PZ6" s="12">
        <v>0</v>
      </c>
      <c r="QA6" s="12">
        <v>0</v>
      </c>
      <c r="QB6" s="12">
        <v>0</v>
      </c>
      <c r="QC6" s="12">
        <v>0</v>
      </c>
      <c r="QD6" s="12">
        <v>0</v>
      </c>
      <c r="QE6" s="12">
        <v>0</v>
      </c>
      <c r="QF6" s="12">
        <v>0</v>
      </c>
      <c r="QG6" s="12">
        <v>0</v>
      </c>
      <c r="QH6" s="12">
        <v>206400</v>
      </c>
      <c r="QI6" s="12">
        <v>10216800</v>
      </c>
      <c r="QJ6" s="12">
        <v>9201</v>
      </c>
      <c r="QK6" s="11" t="s">
        <v>808</v>
      </c>
      <c r="QL6" s="12">
        <v>0</v>
      </c>
      <c r="QM6" s="12">
        <v>0</v>
      </c>
      <c r="QN6" s="12">
        <v>0</v>
      </c>
      <c r="QO6" s="12">
        <v>0</v>
      </c>
      <c r="QP6" s="12">
        <v>37920</v>
      </c>
      <c r="QQ6" s="12">
        <v>0</v>
      </c>
      <c r="QR6" s="12">
        <v>0</v>
      </c>
      <c r="QS6" s="12">
        <v>0</v>
      </c>
      <c r="QT6" s="12">
        <v>0</v>
      </c>
      <c r="QU6" s="12">
        <v>0</v>
      </c>
      <c r="QV6" s="12">
        <v>0</v>
      </c>
      <c r="QW6" s="12">
        <v>0</v>
      </c>
      <c r="QX6" s="12">
        <v>0</v>
      </c>
      <c r="QY6" s="12">
        <v>0</v>
      </c>
      <c r="QZ6" s="12">
        <v>0</v>
      </c>
      <c r="RA6" s="12">
        <v>0</v>
      </c>
      <c r="RB6" s="12">
        <v>0</v>
      </c>
      <c r="RC6" s="12">
        <v>1877040</v>
      </c>
      <c r="RD6" s="12">
        <v>0</v>
      </c>
      <c r="RE6" s="12">
        <v>0</v>
      </c>
      <c r="RF6" s="12">
        <v>0</v>
      </c>
      <c r="RG6" s="12">
        <v>0</v>
      </c>
      <c r="RH6" s="12">
        <v>0</v>
      </c>
      <c r="RI6" s="12">
        <v>0</v>
      </c>
      <c r="RJ6" s="12">
        <v>0</v>
      </c>
      <c r="RK6" s="12">
        <v>0</v>
      </c>
      <c r="RL6" s="12">
        <v>37920</v>
      </c>
      <c r="RM6" s="12">
        <v>1877040</v>
      </c>
    </row>
    <row x14ac:dyDescent="0.25" r="7" customHeight="1" ht="18" customFormat="1" s="8">
      <c r="A7" s="9" t="s">
        <v>809</v>
      </c>
      <c r="B7" s="12">
        <v>76172</v>
      </c>
      <c r="C7" s="16" t="s">
        <v>485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313920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15539040</v>
      </c>
      <c r="Y7" s="12">
        <v>0</v>
      </c>
      <c r="Z7" s="12">
        <v>313920</v>
      </c>
      <c r="AA7" s="12">
        <v>15539040</v>
      </c>
      <c r="AB7" s="12">
        <v>76156</v>
      </c>
      <c r="AC7" s="11" t="s">
        <v>714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125760</v>
      </c>
      <c r="AQ7" s="12">
        <v>206640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5307072</v>
      </c>
      <c r="BF7" s="12">
        <v>10228680</v>
      </c>
      <c r="BG7" s="12">
        <v>0</v>
      </c>
      <c r="BH7" s="12">
        <v>332400</v>
      </c>
      <c r="BI7" s="12">
        <v>15535752</v>
      </c>
      <c r="BJ7" s="12">
        <v>0</v>
      </c>
      <c r="BK7" s="11" t="s">
        <v>112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20557</v>
      </c>
      <c r="CQ7" s="11" t="s">
        <v>810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84720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4193640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84720</v>
      </c>
      <c r="EQ7" s="12">
        <v>4193640</v>
      </c>
      <c r="ER7" s="12">
        <v>7163</v>
      </c>
      <c r="ES7" s="11" t="s">
        <v>811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29520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1461240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29520</v>
      </c>
      <c r="GW7" s="12">
        <v>1461240</v>
      </c>
      <c r="GX7" s="12">
        <v>0</v>
      </c>
      <c r="GY7" s="11" t="s">
        <v>112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1" t="s">
        <v>112</v>
      </c>
      <c r="JL7" s="12">
        <v>0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0</v>
      </c>
      <c r="KD7" s="12">
        <v>0</v>
      </c>
      <c r="KE7" s="12">
        <v>0</v>
      </c>
      <c r="KF7" s="12">
        <v>0</v>
      </c>
      <c r="KG7" s="12">
        <v>0</v>
      </c>
      <c r="KH7" s="12">
        <v>0</v>
      </c>
      <c r="KI7" s="12">
        <v>0</v>
      </c>
      <c r="KJ7" s="12">
        <v>0</v>
      </c>
      <c r="KK7" s="12">
        <v>0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0</v>
      </c>
      <c r="KT7" s="12">
        <v>0</v>
      </c>
      <c r="KU7" s="12">
        <v>0</v>
      </c>
      <c r="KV7" s="12">
        <v>0</v>
      </c>
      <c r="KW7" s="12">
        <v>0</v>
      </c>
      <c r="KX7" s="12">
        <v>0</v>
      </c>
      <c r="KY7" s="12">
        <v>0</v>
      </c>
      <c r="KZ7" s="12">
        <v>0</v>
      </c>
      <c r="LA7" s="12">
        <v>0</v>
      </c>
      <c r="LB7" s="12">
        <v>0</v>
      </c>
      <c r="LC7" s="12">
        <v>0</v>
      </c>
      <c r="LD7" s="12">
        <v>0</v>
      </c>
      <c r="LE7" s="12">
        <v>0</v>
      </c>
      <c r="LF7" s="12">
        <v>0</v>
      </c>
      <c r="LG7" s="12">
        <v>0</v>
      </c>
      <c r="LH7" s="12">
        <v>0</v>
      </c>
      <c r="LI7" s="12">
        <v>0</v>
      </c>
      <c r="LJ7" s="12">
        <v>0</v>
      </c>
      <c r="LK7" s="11" t="s">
        <v>112</v>
      </c>
      <c r="LL7" s="12">
        <v>0</v>
      </c>
      <c r="LM7" s="12">
        <v>0</v>
      </c>
      <c r="LN7" s="12">
        <v>0</v>
      </c>
      <c r="LO7" s="12">
        <v>0</v>
      </c>
      <c r="LP7" s="12">
        <v>0</v>
      </c>
      <c r="LQ7" s="12">
        <v>0</v>
      </c>
      <c r="LR7" s="12">
        <v>0</v>
      </c>
      <c r="LS7" s="12">
        <v>0</v>
      </c>
      <c r="LT7" s="12">
        <v>0</v>
      </c>
      <c r="LU7" s="12">
        <v>0</v>
      </c>
      <c r="LV7" s="12">
        <v>0</v>
      </c>
      <c r="LW7" s="12">
        <v>0</v>
      </c>
      <c r="LX7" s="12">
        <v>0</v>
      </c>
      <c r="LY7" s="12">
        <v>0</v>
      </c>
      <c r="LZ7" s="12">
        <v>0</v>
      </c>
      <c r="MA7" s="12">
        <v>0</v>
      </c>
      <c r="MB7" s="12">
        <v>0</v>
      </c>
      <c r="MC7" s="12">
        <v>0</v>
      </c>
      <c r="MD7" s="12">
        <v>0</v>
      </c>
      <c r="ME7" s="12">
        <v>0</v>
      </c>
      <c r="MF7" s="12">
        <v>0</v>
      </c>
      <c r="MG7" s="12">
        <v>0</v>
      </c>
      <c r="MH7" s="12">
        <v>0</v>
      </c>
      <c r="MI7" s="12">
        <v>0</v>
      </c>
      <c r="MJ7" s="12">
        <v>0</v>
      </c>
      <c r="MK7" s="12">
        <v>0</v>
      </c>
      <c r="ML7" s="12">
        <v>0</v>
      </c>
      <c r="MM7" s="12">
        <v>0</v>
      </c>
      <c r="MN7" s="12">
        <v>0</v>
      </c>
      <c r="MO7" s="12">
        <v>0</v>
      </c>
      <c r="MP7" s="12">
        <v>0</v>
      </c>
      <c r="MQ7" s="12">
        <v>0</v>
      </c>
      <c r="MR7" s="12">
        <v>0</v>
      </c>
      <c r="MS7" s="12">
        <v>0</v>
      </c>
      <c r="MT7" s="12">
        <v>0</v>
      </c>
      <c r="MU7" s="12">
        <v>0</v>
      </c>
      <c r="MV7" s="12">
        <v>0</v>
      </c>
      <c r="MW7" s="12">
        <v>0</v>
      </c>
      <c r="MX7" s="12">
        <v>0</v>
      </c>
      <c r="MY7" s="12">
        <v>0</v>
      </c>
      <c r="MZ7" s="12">
        <v>0</v>
      </c>
      <c r="NA7" s="12">
        <v>0</v>
      </c>
      <c r="NB7" s="12">
        <v>0</v>
      </c>
      <c r="NC7" s="12">
        <v>0</v>
      </c>
      <c r="ND7" s="12">
        <v>0</v>
      </c>
      <c r="NE7" s="12">
        <v>0</v>
      </c>
      <c r="NF7" s="12">
        <v>0</v>
      </c>
      <c r="NG7" s="11" t="s">
        <v>112</v>
      </c>
      <c r="NH7" s="12">
        <v>0</v>
      </c>
      <c r="NI7" s="12">
        <v>0</v>
      </c>
      <c r="NJ7" s="12">
        <v>0</v>
      </c>
      <c r="NK7" s="12">
        <v>0</v>
      </c>
      <c r="NL7" s="12">
        <v>0</v>
      </c>
      <c r="NM7" s="12">
        <v>0</v>
      </c>
      <c r="NN7" s="12">
        <v>0</v>
      </c>
      <c r="NO7" s="12">
        <v>0</v>
      </c>
      <c r="NP7" s="12">
        <v>0</v>
      </c>
      <c r="NQ7" s="12">
        <v>0</v>
      </c>
      <c r="NR7" s="12">
        <v>0</v>
      </c>
      <c r="NS7" s="12">
        <v>0</v>
      </c>
      <c r="NT7" s="12">
        <v>0</v>
      </c>
      <c r="NU7" s="12">
        <v>0</v>
      </c>
      <c r="NV7" s="12">
        <v>0</v>
      </c>
      <c r="NW7" s="12">
        <v>0</v>
      </c>
      <c r="NX7" s="12">
        <v>0</v>
      </c>
      <c r="NY7" s="12">
        <v>0</v>
      </c>
      <c r="NZ7" s="12">
        <v>0</v>
      </c>
      <c r="OA7" s="12">
        <v>0</v>
      </c>
      <c r="OB7" s="12">
        <v>0</v>
      </c>
      <c r="OC7" s="12">
        <v>0</v>
      </c>
      <c r="OD7" s="12">
        <v>0</v>
      </c>
      <c r="OE7" s="12">
        <v>0</v>
      </c>
      <c r="OF7" s="12">
        <v>0</v>
      </c>
      <c r="OG7" s="12">
        <v>0</v>
      </c>
      <c r="OH7" s="12">
        <v>0</v>
      </c>
      <c r="OI7" s="12">
        <v>0</v>
      </c>
      <c r="OJ7" s="12">
        <v>0</v>
      </c>
      <c r="OK7" s="12">
        <v>0</v>
      </c>
      <c r="OL7" s="12">
        <v>0</v>
      </c>
      <c r="OM7" s="12">
        <v>0</v>
      </c>
      <c r="ON7" s="12">
        <v>0</v>
      </c>
      <c r="OO7" s="12">
        <v>0</v>
      </c>
      <c r="OP7" s="12">
        <v>0</v>
      </c>
      <c r="OQ7" s="12">
        <v>0</v>
      </c>
      <c r="OR7" s="12">
        <v>0</v>
      </c>
      <c r="OS7" s="12">
        <v>0</v>
      </c>
      <c r="OT7" s="12">
        <v>0</v>
      </c>
      <c r="OU7" s="12">
        <v>0</v>
      </c>
      <c r="OV7" s="12">
        <v>0</v>
      </c>
      <c r="OW7" s="12">
        <v>0</v>
      </c>
      <c r="OX7" s="12">
        <v>0</v>
      </c>
      <c r="OY7" s="12">
        <v>0</v>
      </c>
      <c r="OZ7" s="12">
        <v>0</v>
      </c>
      <c r="PA7" s="11" t="s">
        <v>112</v>
      </c>
      <c r="PB7" s="12">
        <v>0</v>
      </c>
      <c r="PC7" s="12">
        <v>0</v>
      </c>
      <c r="PD7" s="12">
        <v>0</v>
      </c>
      <c r="PE7" s="12">
        <v>0</v>
      </c>
      <c r="PF7" s="12">
        <v>0</v>
      </c>
      <c r="PG7" s="12">
        <v>0</v>
      </c>
      <c r="PH7" s="12">
        <v>0</v>
      </c>
      <c r="PI7" s="12">
        <v>0</v>
      </c>
      <c r="PJ7" s="12">
        <v>0</v>
      </c>
      <c r="PK7" s="12">
        <v>0</v>
      </c>
      <c r="PL7" s="12">
        <v>0</v>
      </c>
      <c r="PM7" s="12">
        <v>0</v>
      </c>
      <c r="PN7" s="12">
        <v>0</v>
      </c>
      <c r="PO7" s="12">
        <v>0</v>
      </c>
      <c r="PP7" s="12">
        <v>0</v>
      </c>
      <c r="PQ7" s="12">
        <v>0</v>
      </c>
      <c r="PR7" s="12">
        <v>0</v>
      </c>
      <c r="PS7" s="12">
        <v>0</v>
      </c>
      <c r="PT7" s="12">
        <v>0</v>
      </c>
      <c r="PU7" s="12">
        <v>0</v>
      </c>
      <c r="PV7" s="12">
        <v>0</v>
      </c>
      <c r="PW7" s="12">
        <v>0</v>
      </c>
      <c r="PX7" s="12">
        <v>0</v>
      </c>
      <c r="PY7" s="12">
        <v>0</v>
      </c>
      <c r="PZ7" s="12">
        <v>0</v>
      </c>
      <c r="QA7" s="12">
        <v>0</v>
      </c>
      <c r="QB7" s="12">
        <v>0</v>
      </c>
      <c r="QC7" s="12">
        <v>0</v>
      </c>
      <c r="QD7" s="12">
        <v>0</v>
      </c>
      <c r="QE7" s="12">
        <v>0</v>
      </c>
      <c r="QF7" s="12">
        <v>0</v>
      </c>
      <c r="QG7" s="12">
        <v>0</v>
      </c>
      <c r="QH7" s="12">
        <v>0</v>
      </c>
      <c r="QI7" s="12">
        <v>0</v>
      </c>
      <c r="QJ7" s="12">
        <v>0</v>
      </c>
      <c r="QK7" s="11" t="s">
        <v>112</v>
      </c>
      <c r="QL7" s="12">
        <v>0</v>
      </c>
      <c r="QM7" s="12">
        <v>0</v>
      </c>
      <c r="QN7" s="12">
        <v>0</v>
      </c>
      <c r="QO7" s="12">
        <v>0</v>
      </c>
      <c r="QP7" s="12">
        <v>0</v>
      </c>
      <c r="QQ7" s="12">
        <v>0</v>
      </c>
      <c r="QR7" s="12">
        <v>0</v>
      </c>
      <c r="QS7" s="12">
        <v>0</v>
      </c>
      <c r="QT7" s="12">
        <v>0</v>
      </c>
      <c r="QU7" s="12">
        <v>0</v>
      </c>
      <c r="QV7" s="12">
        <v>0</v>
      </c>
      <c r="QW7" s="12">
        <v>0</v>
      </c>
      <c r="QX7" s="12">
        <v>0</v>
      </c>
      <c r="QY7" s="12">
        <v>0</v>
      </c>
      <c r="QZ7" s="12">
        <v>0</v>
      </c>
      <c r="RA7" s="12">
        <v>0</v>
      </c>
      <c r="RB7" s="12">
        <v>0</v>
      </c>
      <c r="RC7" s="12">
        <v>0</v>
      </c>
      <c r="RD7" s="12">
        <v>0</v>
      </c>
      <c r="RE7" s="12">
        <v>0</v>
      </c>
      <c r="RF7" s="12">
        <v>0</v>
      </c>
      <c r="RG7" s="12">
        <v>0</v>
      </c>
      <c r="RH7" s="12">
        <v>0</v>
      </c>
      <c r="RI7" s="12">
        <v>0</v>
      </c>
      <c r="RJ7" s="12">
        <v>0</v>
      </c>
      <c r="RK7" s="12">
        <v>0</v>
      </c>
      <c r="RL7" s="12">
        <v>0</v>
      </c>
      <c r="RM7" s="12">
        <v>0</v>
      </c>
    </row>
    <row x14ac:dyDescent="0.25" r="8" customHeight="1" ht="18" customFormat="1" s="8">
      <c r="A8" s="9" t="s">
        <v>812</v>
      </c>
      <c r="B8" s="12">
        <v>43968</v>
      </c>
      <c r="C8" s="16" t="s">
        <v>813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181200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8969400</v>
      </c>
      <c r="Y8" s="12">
        <v>0</v>
      </c>
      <c r="Z8" s="12">
        <v>181200</v>
      </c>
      <c r="AA8" s="12">
        <v>8969400</v>
      </c>
      <c r="AB8" s="12">
        <v>37329</v>
      </c>
      <c r="AC8" s="11" t="s">
        <v>814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153840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7615080</v>
      </c>
      <c r="BG8" s="12">
        <v>0</v>
      </c>
      <c r="BH8" s="12">
        <v>153840</v>
      </c>
      <c r="BI8" s="12">
        <v>7615080</v>
      </c>
      <c r="BJ8" s="12">
        <v>0</v>
      </c>
      <c r="BK8" s="11" t="s">
        <v>112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1" t="s">
        <v>112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1" t="s">
        <v>112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1" t="s">
        <v>112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1" t="s">
        <v>112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0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  <c r="KI8" s="12">
        <v>0</v>
      </c>
      <c r="KJ8" s="12">
        <v>0</v>
      </c>
      <c r="KK8" s="12">
        <v>0</v>
      </c>
      <c r="KL8" s="12">
        <v>0</v>
      </c>
      <c r="KM8" s="12">
        <v>0</v>
      </c>
      <c r="KN8" s="12">
        <v>0</v>
      </c>
      <c r="KO8" s="12">
        <v>0</v>
      </c>
      <c r="KP8" s="12">
        <v>0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0</v>
      </c>
      <c r="LA8" s="12">
        <v>0</v>
      </c>
      <c r="LB8" s="12">
        <v>0</v>
      </c>
      <c r="LC8" s="12">
        <v>0</v>
      </c>
      <c r="LD8" s="12">
        <v>0</v>
      </c>
      <c r="LE8" s="12">
        <v>0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1" t="s">
        <v>112</v>
      </c>
      <c r="LL8" s="12">
        <v>0</v>
      </c>
      <c r="LM8" s="12">
        <v>0</v>
      </c>
      <c r="LN8" s="12">
        <v>0</v>
      </c>
      <c r="LO8" s="12">
        <v>0</v>
      </c>
      <c r="LP8" s="12">
        <v>0</v>
      </c>
      <c r="LQ8" s="12">
        <v>0</v>
      </c>
      <c r="LR8" s="12">
        <v>0</v>
      </c>
      <c r="LS8" s="12">
        <v>0</v>
      </c>
      <c r="LT8" s="12">
        <v>0</v>
      </c>
      <c r="LU8" s="12">
        <v>0</v>
      </c>
      <c r="LV8" s="12">
        <v>0</v>
      </c>
      <c r="LW8" s="12">
        <v>0</v>
      </c>
      <c r="LX8" s="12">
        <v>0</v>
      </c>
      <c r="LY8" s="12">
        <v>0</v>
      </c>
      <c r="LZ8" s="12">
        <v>0</v>
      </c>
      <c r="MA8" s="12">
        <v>0</v>
      </c>
      <c r="MB8" s="12">
        <v>0</v>
      </c>
      <c r="MC8" s="12">
        <v>0</v>
      </c>
      <c r="MD8" s="12">
        <v>0</v>
      </c>
      <c r="ME8" s="12">
        <v>0</v>
      </c>
      <c r="MF8" s="12">
        <v>0</v>
      </c>
      <c r="MG8" s="12">
        <v>0</v>
      </c>
      <c r="MH8" s="12">
        <v>0</v>
      </c>
      <c r="MI8" s="12">
        <v>0</v>
      </c>
      <c r="MJ8" s="12">
        <v>0</v>
      </c>
      <c r="MK8" s="12">
        <v>0</v>
      </c>
      <c r="ML8" s="12">
        <v>0</v>
      </c>
      <c r="MM8" s="12">
        <v>0</v>
      </c>
      <c r="MN8" s="12">
        <v>0</v>
      </c>
      <c r="MO8" s="12">
        <v>0</v>
      </c>
      <c r="MP8" s="12">
        <v>0</v>
      </c>
      <c r="MQ8" s="12">
        <v>0</v>
      </c>
      <c r="MR8" s="12">
        <v>0</v>
      </c>
      <c r="MS8" s="12">
        <v>0</v>
      </c>
      <c r="MT8" s="12">
        <v>0</v>
      </c>
      <c r="MU8" s="12">
        <v>0</v>
      </c>
      <c r="MV8" s="12">
        <v>0</v>
      </c>
      <c r="MW8" s="12">
        <v>0</v>
      </c>
      <c r="MX8" s="12">
        <v>0</v>
      </c>
      <c r="MY8" s="12">
        <v>0</v>
      </c>
      <c r="MZ8" s="12">
        <v>0</v>
      </c>
      <c r="NA8" s="12">
        <v>0</v>
      </c>
      <c r="NB8" s="12">
        <v>0</v>
      </c>
      <c r="NC8" s="12">
        <v>0</v>
      </c>
      <c r="ND8" s="12">
        <v>0</v>
      </c>
      <c r="NE8" s="12">
        <v>0</v>
      </c>
      <c r="NF8" s="12">
        <v>0</v>
      </c>
      <c r="NG8" s="11" t="s">
        <v>112</v>
      </c>
      <c r="NH8" s="12">
        <v>0</v>
      </c>
      <c r="NI8" s="12">
        <v>0</v>
      </c>
      <c r="NJ8" s="12">
        <v>0</v>
      </c>
      <c r="NK8" s="12">
        <v>0</v>
      </c>
      <c r="NL8" s="12">
        <v>0</v>
      </c>
      <c r="NM8" s="12">
        <v>0</v>
      </c>
      <c r="NN8" s="12">
        <v>0</v>
      </c>
      <c r="NO8" s="12">
        <v>0</v>
      </c>
      <c r="NP8" s="12">
        <v>0</v>
      </c>
      <c r="NQ8" s="12">
        <v>0</v>
      </c>
      <c r="NR8" s="12">
        <v>0</v>
      </c>
      <c r="NS8" s="12">
        <v>0</v>
      </c>
      <c r="NT8" s="12">
        <v>0</v>
      </c>
      <c r="NU8" s="12">
        <v>0</v>
      </c>
      <c r="NV8" s="12">
        <v>0</v>
      </c>
      <c r="NW8" s="12">
        <v>0</v>
      </c>
      <c r="NX8" s="12">
        <v>0</v>
      </c>
      <c r="NY8" s="12">
        <v>0</v>
      </c>
      <c r="NZ8" s="12">
        <v>0</v>
      </c>
      <c r="OA8" s="12">
        <v>0</v>
      </c>
      <c r="OB8" s="12">
        <v>0</v>
      </c>
      <c r="OC8" s="12">
        <v>0</v>
      </c>
      <c r="OD8" s="12">
        <v>0</v>
      </c>
      <c r="OE8" s="12">
        <v>0</v>
      </c>
      <c r="OF8" s="12">
        <v>0</v>
      </c>
      <c r="OG8" s="12">
        <v>0</v>
      </c>
      <c r="OH8" s="12">
        <v>0</v>
      </c>
      <c r="OI8" s="12">
        <v>0</v>
      </c>
      <c r="OJ8" s="12">
        <v>0</v>
      </c>
      <c r="OK8" s="12">
        <v>0</v>
      </c>
      <c r="OL8" s="12">
        <v>0</v>
      </c>
      <c r="OM8" s="12">
        <v>0</v>
      </c>
      <c r="ON8" s="12">
        <v>0</v>
      </c>
      <c r="OO8" s="12">
        <v>0</v>
      </c>
      <c r="OP8" s="12">
        <v>0</v>
      </c>
      <c r="OQ8" s="12">
        <v>0</v>
      </c>
      <c r="OR8" s="12">
        <v>0</v>
      </c>
      <c r="OS8" s="12">
        <v>0</v>
      </c>
      <c r="OT8" s="12">
        <v>0</v>
      </c>
      <c r="OU8" s="12">
        <v>0</v>
      </c>
      <c r="OV8" s="12">
        <v>0</v>
      </c>
      <c r="OW8" s="12">
        <v>0</v>
      </c>
      <c r="OX8" s="12">
        <v>0</v>
      </c>
      <c r="OY8" s="12">
        <v>0</v>
      </c>
      <c r="OZ8" s="12">
        <v>0</v>
      </c>
      <c r="PA8" s="11" t="s">
        <v>112</v>
      </c>
      <c r="PB8" s="12">
        <v>0</v>
      </c>
      <c r="PC8" s="12">
        <v>0</v>
      </c>
      <c r="PD8" s="12">
        <v>0</v>
      </c>
      <c r="PE8" s="12">
        <v>0</v>
      </c>
      <c r="PF8" s="12">
        <v>0</v>
      </c>
      <c r="PG8" s="12">
        <v>0</v>
      </c>
      <c r="PH8" s="12">
        <v>0</v>
      </c>
      <c r="PI8" s="12">
        <v>0</v>
      </c>
      <c r="PJ8" s="12">
        <v>0</v>
      </c>
      <c r="PK8" s="12">
        <v>0</v>
      </c>
      <c r="PL8" s="12">
        <v>0</v>
      </c>
      <c r="PM8" s="12">
        <v>0</v>
      </c>
      <c r="PN8" s="12">
        <v>0</v>
      </c>
      <c r="PO8" s="12">
        <v>0</v>
      </c>
      <c r="PP8" s="12">
        <v>0</v>
      </c>
      <c r="PQ8" s="12">
        <v>0</v>
      </c>
      <c r="PR8" s="12">
        <v>0</v>
      </c>
      <c r="PS8" s="12">
        <v>0</v>
      </c>
      <c r="PT8" s="12">
        <v>0</v>
      </c>
      <c r="PU8" s="12">
        <v>0</v>
      </c>
      <c r="PV8" s="12">
        <v>0</v>
      </c>
      <c r="PW8" s="12">
        <v>0</v>
      </c>
      <c r="PX8" s="12">
        <v>0</v>
      </c>
      <c r="PY8" s="12">
        <v>0</v>
      </c>
      <c r="PZ8" s="12">
        <v>0</v>
      </c>
      <c r="QA8" s="12">
        <v>0</v>
      </c>
      <c r="QB8" s="12">
        <v>0</v>
      </c>
      <c r="QC8" s="12">
        <v>0</v>
      </c>
      <c r="QD8" s="12">
        <v>0</v>
      </c>
      <c r="QE8" s="12">
        <v>0</v>
      </c>
      <c r="QF8" s="12">
        <v>0</v>
      </c>
      <c r="QG8" s="12">
        <v>0</v>
      </c>
      <c r="QH8" s="12">
        <v>0</v>
      </c>
      <c r="QI8" s="12">
        <v>0</v>
      </c>
      <c r="QJ8" s="12">
        <v>0</v>
      </c>
      <c r="QK8" s="11" t="s">
        <v>112</v>
      </c>
      <c r="QL8" s="12">
        <v>0</v>
      </c>
      <c r="QM8" s="12">
        <v>0</v>
      </c>
      <c r="QN8" s="12">
        <v>0</v>
      </c>
      <c r="QO8" s="12">
        <v>0</v>
      </c>
      <c r="QP8" s="12">
        <v>0</v>
      </c>
      <c r="QQ8" s="12">
        <v>0</v>
      </c>
      <c r="QR8" s="12">
        <v>0</v>
      </c>
      <c r="QS8" s="12">
        <v>0</v>
      </c>
      <c r="QT8" s="12">
        <v>0</v>
      </c>
      <c r="QU8" s="12">
        <v>0</v>
      </c>
      <c r="QV8" s="12">
        <v>0</v>
      </c>
      <c r="QW8" s="12">
        <v>0</v>
      </c>
      <c r="QX8" s="12">
        <v>0</v>
      </c>
      <c r="QY8" s="12">
        <v>0</v>
      </c>
      <c r="QZ8" s="12">
        <v>0</v>
      </c>
      <c r="RA8" s="12">
        <v>0</v>
      </c>
      <c r="RB8" s="12">
        <v>0</v>
      </c>
      <c r="RC8" s="12">
        <v>0</v>
      </c>
      <c r="RD8" s="12">
        <v>0</v>
      </c>
      <c r="RE8" s="12">
        <v>0</v>
      </c>
      <c r="RF8" s="12">
        <v>0</v>
      </c>
      <c r="RG8" s="12">
        <v>0</v>
      </c>
      <c r="RH8" s="12">
        <v>0</v>
      </c>
      <c r="RI8" s="12">
        <v>0</v>
      </c>
      <c r="RJ8" s="12">
        <v>0</v>
      </c>
      <c r="RK8" s="12">
        <v>0</v>
      </c>
      <c r="RL8" s="12">
        <v>0</v>
      </c>
      <c r="RM8" s="12">
        <v>0</v>
      </c>
    </row>
    <row x14ac:dyDescent="0.25" r="9" customHeight="1" ht="18" customFormat="1" s="8">
      <c r="A9" s="9" t="s">
        <v>815</v>
      </c>
      <c r="B9" s="12">
        <v>23026</v>
      </c>
      <c r="C9" s="16" t="s">
        <v>816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167760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4697280</v>
      </c>
      <c r="V9" s="12">
        <v>0</v>
      </c>
      <c r="W9" s="12">
        <v>0</v>
      </c>
      <c r="X9" s="12">
        <v>0</v>
      </c>
      <c r="Y9" s="12">
        <v>0</v>
      </c>
      <c r="Z9" s="12">
        <v>167760</v>
      </c>
      <c r="AA9" s="12">
        <v>4697280</v>
      </c>
      <c r="AB9" s="12">
        <v>74711</v>
      </c>
      <c r="AC9" s="11" t="s">
        <v>817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234000</v>
      </c>
      <c r="AL9" s="12">
        <v>289440</v>
      </c>
      <c r="AM9" s="12">
        <v>19920</v>
      </c>
      <c r="AN9" s="12">
        <v>960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6552000</v>
      </c>
      <c r="BA9" s="12">
        <v>8104320</v>
      </c>
      <c r="BB9" s="12">
        <v>557760</v>
      </c>
      <c r="BC9" s="12">
        <v>26880</v>
      </c>
      <c r="BD9" s="12">
        <v>0</v>
      </c>
      <c r="BE9" s="12">
        <v>0</v>
      </c>
      <c r="BF9" s="12">
        <v>0</v>
      </c>
      <c r="BG9" s="12">
        <v>0</v>
      </c>
      <c r="BH9" s="12">
        <v>544320</v>
      </c>
      <c r="BI9" s="12">
        <v>15240960</v>
      </c>
      <c r="BJ9" s="12">
        <v>17459</v>
      </c>
      <c r="BK9" s="11" t="s">
        <v>818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38640</v>
      </c>
      <c r="BS9" s="12">
        <v>61680</v>
      </c>
      <c r="BT9" s="12">
        <v>26400</v>
      </c>
      <c r="BU9" s="12">
        <v>480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1081920</v>
      </c>
      <c r="CG9" s="12">
        <v>1727040</v>
      </c>
      <c r="CH9" s="12">
        <v>739200</v>
      </c>
      <c r="CI9" s="12">
        <v>13440</v>
      </c>
      <c r="CJ9" s="12">
        <v>0</v>
      </c>
      <c r="CK9" s="12">
        <v>0</v>
      </c>
      <c r="CL9" s="12">
        <v>0</v>
      </c>
      <c r="CM9" s="12">
        <v>0</v>
      </c>
      <c r="CN9" s="12">
        <v>127200</v>
      </c>
      <c r="CO9" s="12">
        <v>3561600</v>
      </c>
      <c r="CP9" s="12">
        <v>62687</v>
      </c>
      <c r="CQ9" s="11" t="s">
        <v>819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154560</v>
      </c>
      <c r="DB9" s="12">
        <v>199920</v>
      </c>
      <c r="DC9" s="12">
        <v>98880</v>
      </c>
      <c r="DD9" s="12">
        <v>3360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4327680</v>
      </c>
      <c r="EA9" s="12">
        <v>5597760</v>
      </c>
      <c r="EB9" s="12">
        <v>2768640</v>
      </c>
      <c r="EC9" s="12">
        <v>94080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456720</v>
      </c>
      <c r="EQ9" s="12">
        <v>12788160</v>
      </c>
      <c r="ER9" s="12">
        <v>58734</v>
      </c>
      <c r="ES9" s="11" t="s">
        <v>820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145920</v>
      </c>
      <c r="FD9" s="12">
        <v>179760</v>
      </c>
      <c r="FE9" s="12">
        <v>97920</v>
      </c>
      <c r="FF9" s="12">
        <v>4320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4085760</v>
      </c>
      <c r="GE9" s="12">
        <v>5033280</v>
      </c>
      <c r="GF9" s="12">
        <v>2741760</v>
      </c>
      <c r="GG9" s="12">
        <v>120960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427920</v>
      </c>
      <c r="GW9" s="12">
        <v>11981760</v>
      </c>
      <c r="GX9" s="12">
        <v>56527</v>
      </c>
      <c r="GY9" s="11" t="s">
        <v>821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143040</v>
      </c>
      <c r="HK9" s="12">
        <v>166320</v>
      </c>
      <c r="HL9" s="12">
        <v>97920</v>
      </c>
      <c r="HM9" s="12">
        <v>4560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4005120</v>
      </c>
      <c r="IO9" s="12">
        <v>4656960</v>
      </c>
      <c r="IP9" s="12">
        <v>2741760</v>
      </c>
      <c r="IQ9" s="12">
        <v>127680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411840</v>
      </c>
      <c r="JI9" s="12">
        <v>11531520</v>
      </c>
      <c r="JJ9" s="12">
        <v>57120</v>
      </c>
      <c r="JK9" s="11" t="s">
        <v>822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151680</v>
      </c>
      <c r="JT9" s="12">
        <v>166320</v>
      </c>
      <c r="JU9" s="12">
        <v>96960</v>
      </c>
      <c r="JV9" s="12">
        <v>1200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4247040</v>
      </c>
      <c r="KR9" s="12">
        <v>4656960</v>
      </c>
      <c r="KS9" s="12">
        <v>2714880</v>
      </c>
      <c r="KT9" s="12">
        <v>33600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2">
        <v>0</v>
      </c>
      <c r="LF9" s="12">
        <v>0</v>
      </c>
      <c r="LG9" s="12">
        <v>0</v>
      </c>
      <c r="LH9" s="12">
        <v>416160</v>
      </c>
      <c r="LI9" s="12">
        <v>11652480</v>
      </c>
      <c r="LJ9" s="12">
        <v>61600</v>
      </c>
      <c r="LK9" s="11" t="s">
        <v>823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152640</v>
      </c>
      <c r="LR9" s="12">
        <v>166320</v>
      </c>
      <c r="LS9" s="12">
        <v>129120</v>
      </c>
      <c r="LT9" s="12">
        <v>720</v>
      </c>
      <c r="LU9" s="12">
        <v>0</v>
      </c>
      <c r="LV9" s="12">
        <v>0</v>
      </c>
      <c r="LW9" s="12">
        <v>0</v>
      </c>
      <c r="LX9" s="12">
        <v>0</v>
      </c>
      <c r="LY9" s="12">
        <v>0</v>
      </c>
      <c r="LZ9" s="12">
        <v>0</v>
      </c>
      <c r="MA9" s="12">
        <v>0</v>
      </c>
      <c r="MB9" s="12">
        <v>0</v>
      </c>
      <c r="MC9" s="12">
        <v>0</v>
      </c>
      <c r="MD9" s="12">
        <v>0</v>
      </c>
      <c r="ME9" s="12">
        <v>0</v>
      </c>
      <c r="MF9" s="12">
        <v>0</v>
      </c>
      <c r="MG9" s="12">
        <v>0</v>
      </c>
      <c r="MH9" s="12">
        <v>0</v>
      </c>
      <c r="MI9" s="12">
        <v>0</v>
      </c>
      <c r="MJ9" s="12">
        <v>0</v>
      </c>
      <c r="MK9" s="12">
        <v>0</v>
      </c>
      <c r="ML9" s="12">
        <v>0</v>
      </c>
      <c r="MM9" s="12">
        <v>4273920</v>
      </c>
      <c r="MN9" s="12">
        <v>4656960</v>
      </c>
      <c r="MO9" s="12">
        <v>3615360</v>
      </c>
      <c r="MP9" s="12">
        <v>20160</v>
      </c>
      <c r="MQ9" s="12">
        <v>0</v>
      </c>
      <c r="MR9" s="12">
        <v>0</v>
      </c>
      <c r="MS9" s="12">
        <v>0</v>
      </c>
      <c r="MT9" s="12">
        <v>0</v>
      </c>
      <c r="MU9" s="12">
        <v>0</v>
      </c>
      <c r="MV9" s="12">
        <v>0</v>
      </c>
      <c r="MW9" s="12">
        <v>0</v>
      </c>
      <c r="MX9" s="12">
        <v>0</v>
      </c>
      <c r="MY9" s="12">
        <v>0</v>
      </c>
      <c r="MZ9" s="12">
        <v>0</v>
      </c>
      <c r="NA9" s="12">
        <v>0</v>
      </c>
      <c r="NB9" s="12">
        <v>0</v>
      </c>
      <c r="NC9" s="12">
        <v>0</v>
      </c>
      <c r="ND9" s="12">
        <v>448800</v>
      </c>
      <c r="NE9" s="12">
        <v>12566400</v>
      </c>
      <c r="NF9" s="12">
        <v>61501</v>
      </c>
      <c r="NG9" s="11" t="s">
        <v>824</v>
      </c>
      <c r="NH9" s="12">
        <v>0</v>
      </c>
      <c r="NI9" s="12">
        <v>0</v>
      </c>
      <c r="NJ9" s="12">
        <v>0</v>
      </c>
      <c r="NK9" s="12">
        <v>0</v>
      </c>
      <c r="NL9" s="12">
        <v>0</v>
      </c>
      <c r="NM9" s="12">
        <v>152640</v>
      </c>
      <c r="NN9" s="12">
        <v>166320</v>
      </c>
      <c r="NO9" s="12">
        <v>129120</v>
      </c>
      <c r="NP9" s="12">
        <v>0</v>
      </c>
      <c r="NQ9" s="12">
        <v>0</v>
      </c>
      <c r="NR9" s="12">
        <v>0</v>
      </c>
      <c r="NS9" s="12">
        <v>0</v>
      </c>
      <c r="NT9" s="12">
        <v>0</v>
      </c>
      <c r="NU9" s="12">
        <v>0</v>
      </c>
      <c r="NV9" s="12">
        <v>0</v>
      </c>
      <c r="NW9" s="12">
        <v>0</v>
      </c>
      <c r="NX9" s="12">
        <v>0</v>
      </c>
      <c r="NY9" s="12">
        <v>0</v>
      </c>
      <c r="NZ9" s="12">
        <v>0</v>
      </c>
      <c r="OA9" s="12">
        <v>0</v>
      </c>
      <c r="OB9" s="12">
        <v>0</v>
      </c>
      <c r="OC9" s="12">
        <v>0</v>
      </c>
      <c r="OD9" s="12">
        <v>0</v>
      </c>
      <c r="OE9" s="12">
        <v>0</v>
      </c>
      <c r="OF9" s="12">
        <v>0</v>
      </c>
      <c r="OG9" s="12">
        <v>0</v>
      </c>
      <c r="OH9" s="12">
        <v>4273920</v>
      </c>
      <c r="OI9" s="12">
        <v>4656960</v>
      </c>
      <c r="OJ9" s="12">
        <v>3615360</v>
      </c>
      <c r="OK9" s="12">
        <v>0</v>
      </c>
      <c r="OL9" s="12">
        <v>0</v>
      </c>
      <c r="OM9" s="12">
        <v>0</v>
      </c>
      <c r="ON9" s="12">
        <v>0</v>
      </c>
      <c r="OO9" s="12">
        <v>0</v>
      </c>
      <c r="OP9" s="12">
        <v>0</v>
      </c>
      <c r="OQ9" s="12">
        <v>0</v>
      </c>
      <c r="OR9" s="12">
        <v>0</v>
      </c>
      <c r="OS9" s="12">
        <v>0</v>
      </c>
      <c r="OT9" s="12">
        <v>0</v>
      </c>
      <c r="OU9" s="12">
        <v>0</v>
      </c>
      <c r="OV9" s="12">
        <v>0</v>
      </c>
      <c r="OW9" s="12">
        <v>0</v>
      </c>
      <c r="OX9" s="12">
        <v>448080</v>
      </c>
      <c r="OY9" s="12">
        <v>12546240</v>
      </c>
      <c r="OZ9" s="12">
        <v>61501</v>
      </c>
      <c r="PA9" s="11" t="s">
        <v>824</v>
      </c>
      <c r="PB9" s="12">
        <v>0</v>
      </c>
      <c r="PC9" s="12">
        <v>0</v>
      </c>
      <c r="PD9" s="12">
        <v>152640</v>
      </c>
      <c r="PE9" s="12">
        <v>166320</v>
      </c>
      <c r="PF9" s="12">
        <v>129120</v>
      </c>
      <c r="PG9" s="12">
        <v>0</v>
      </c>
      <c r="PH9" s="12">
        <v>0</v>
      </c>
      <c r="PI9" s="12">
        <v>0</v>
      </c>
      <c r="PJ9" s="12">
        <v>0</v>
      </c>
      <c r="PK9" s="12">
        <v>0</v>
      </c>
      <c r="PL9" s="12">
        <v>0</v>
      </c>
      <c r="PM9" s="12">
        <v>0</v>
      </c>
      <c r="PN9" s="12">
        <v>0</v>
      </c>
      <c r="PO9" s="12">
        <v>0</v>
      </c>
      <c r="PP9" s="12">
        <v>0</v>
      </c>
      <c r="PQ9" s="12">
        <v>0</v>
      </c>
      <c r="PR9" s="12">
        <v>0</v>
      </c>
      <c r="PS9" s="12">
        <v>0</v>
      </c>
      <c r="PT9" s="12">
        <v>4273920</v>
      </c>
      <c r="PU9" s="12">
        <v>4656960</v>
      </c>
      <c r="PV9" s="12">
        <v>3615360</v>
      </c>
      <c r="PW9" s="12">
        <v>0</v>
      </c>
      <c r="PX9" s="12">
        <v>0</v>
      </c>
      <c r="PY9" s="12">
        <v>0</v>
      </c>
      <c r="PZ9" s="12">
        <v>0</v>
      </c>
      <c r="QA9" s="12">
        <v>0</v>
      </c>
      <c r="QB9" s="12">
        <v>0</v>
      </c>
      <c r="QC9" s="12">
        <v>0</v>
      </c>
      <c r="QD9" s="12">
        <v>0</v>
      </c>
      <c r="QE9" s="12">
        <v>0</v>
      </c>
      <c r="QF9" s="12">
        <v>0</v>
      </c>
      <c r="QG9" s="12">
        <v>0</v>
      </c>
      <c r="QH9" s="12">
        <v>448080</v>
      </c>
      <c r="QI9" s="12">
        <v>12546240</v>
      </c>
      <c r="QJ9" s="12">
        <v>0</v>
      </c>
      <c r="QK9" s="11" t="s">
        <v>112</v>
      </c>
      <c r="QL9" s="12">
        <v>0</v>
      </c>
      <c r="QM9" s="12">
        <v>0</v>
      </c>
      <c r="QN9" s="12">
        <v>0</v>
      </c>
      <c r="QO9" s="12">
        <v>0</v>
      </c>
      <c r="QP9" s="12">
        <v>0</v>
      </c>
      <c r="QQ9" s="12">
        <v>0</v>
      </c>
      <c r="QR9" s="12">
        <v>0</v>
      </c>
      <c r="QS9" s="12">
        <v>0</v>
      </c>
      <c r="QT9" s="12">
        <v>0</v>
      </c>
      <c r="QU9" s="12">
        <v>0</v>
      </c>
      <c r="QV9" s="12">
        <v>0</v>
      </c>
      <c r="QW9" s="12">
        <v>0</v>
      </c>
      <c r="QX9" s="12">
        <v>0</v>
      </c>
      <c r="QY9" s="12">
        <v>0</v>
      </c>
      <c r="QZ9" s="12">
        <v>0</v>
      </c>
      <c r="RA9" s="12">
        <v>0</v>
      </c>
      <c r="RB9" s="12">
        <v>0</v>
      </c>
      <c r="RC9" s="12">
        <v>0</v>
      </c>
      <c r="RD9" s="12">
        <v>0</v>
      </c>
      <c r="RE9" s="12">
        <v>0</v>
      </c>
      <c r="RF9" s="12">
        <v>0</v>
      </c>
      <c r="RG9" s="12">
        <v>0</v>
      </c>
      <c r="RH9" s="12">
        <v>0</v>
      </c>
      <c r="RI9" s="12">
        <v>0</v>
      </c>
      <c r="RJ9" s="12">
        <v>0</v>
      </c>
      <c r="RK9" s="12">
        <v>0</v>
      </c>
      <c r="RL9" s="12">
        <v>0</v>
      </c>
      <c r="RM9" s="12">
        <v>0</v>
      </c>
    </row>
    <row x14ac:dyDescent="0.25" r="10" customHeight="1" ht="18" customFormat="1" s="8">
      <c r="A10" s="9" t="s">
        <v>825</v>
      </c>
      <c r="B10" s="12">
        <v>23035</v>
      </c>
      <c r="C10" s="16" t="s">
        <v>826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53520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4699055</v>
      </c>
      <c r="Z10" s="12">
        <v>53520</v>
      </c>
      <c r="AA10" s="12">
        <v>4699055</v>
      </c>
      <c r="AB10" s="12">
        <v>14771</v>
      </c>
      <c r="AC10" s="11" t="s">
        <v>827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34320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3013296</v>
      </c>
      <c r="BH10" s="12">
        <v>34320</v>
      </c>
      <c r="BI10" s="12">
        <v>3013296</v>
      </c>
      <c r="BJ10" s="12">
        <v>2789</v>
      </c>
      <c r="BK10" s="11" t="s">
        <v>828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6480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568944</v>
      </c>
      <c r="CN10" s="12">
        <v>6480</v>
      </c>
      <c r="CO10" s="12">
        <v>568944</v>
      </c>
      <c r="CP10" s="12">
        <v>76128</v>
      </c>
      <c r="CQ10" s="11" t="s">
        <v>499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10080</v>
      </c>
      <c r="DK10" s="12">
        <v>0</v>
      </c>
      <c r="DL10" s="12">
        <v>0</v>
      </c>
      <c r="DM10" s="12">
        <v>0</v>
      </c>
      <c r="DN10" s="12">
        <v>2400</v>
      </c>
      <c r="DO10" s="12">
        <v>164400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885024</v>
      </c>
      <c r="EJ10" s="12">
        <v>0</v>
      </c>
      <c r="EK10" s="12">
        <v>0</v>
      </c>
      <c r="EL10" s="12">
        <v>0</v>
      </c>
      <c r="EM10" s="12">
        <v>210720</v>
      </c>
      <c r="EN10" s="12">
        <v>14434320</v>
      </c>
      <c r="EO10" s="12">
        <v>0</v>
      </c>
      <c r="EP10" s="12">
        <v>176880</v>
      </c>
      <c r="EQ10" s="12">
        <v>15530064</v>
      </c>
      <c r="ER10" s="12">
        <v>76128</v>
      </c>
      <c r="ES10" s="11" t="s">
        <v>499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9600</v>
      </c>
      <c r="FS10" s="12">
        <v>167280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842880</v>
      </c>
      <c r="GT10" s="12">
        <v>14687184</v>
      </c>
      <c r="GU10" s="12">
        <v>0</v>
      </c>
      <c r="GV10" s="12">
        <v>176880</v>
      </c>
      <c r="GW10" s="12">
        <v>15530064</v>
      </c>
      <c r="GX10" s="12">
        <v>76128</v>
      </c>
      <c r="GY10" s="11" t="s">
        <v>499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176880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0</v>
      </c>
      <c r="IQ10" s="12">
        <v>0</v>
      </c>
      <c r="IR10" s="12">
        <v>0</v>
      </c>
      <c r="IS10" s="12">
        <v>0</v>
      </c>
      <c r="IT10" s="12">
        <v>0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15530064</v>
      </c>
      <c r="JF10" s="12">
        <v>0</v>
      </c>
      <c r="JG10" s="12">
        <v>0</v>
      </c>
      <c r="JH10" s="12">
        <v>176880</v>
      </c>
      <c r="JI10" s="12">
        <v>15530064</v>
      </c>
      <c r="JJ10" s="12">
        <v>76128</v>
      </c>
      <c r="JK10" s="11" t="s">
        <v>499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</v>
      </c>
      <c r="KA10" s="12">
        <v>0</v>
      </c>
      <c r="KB10" s="12">
        <v>0</v>
      </c>
      <c r="KC10" s="12">
        <v>0</v>
      </c>
      <c r="KD10" s="12">
        <v>0</v>
      </c>
      <c r="KE10" s="12">
        <v>0</v>
      </c>
      <c r="KF10" s="12">
        <v>0</v>
      </c>
      <c r="KG10" s="12">
        <v>0</v>
      </c>
      <c r="KH10" s="12">
        <v>176880</v>
      </c>
      <c r="KI10" s="12">
        <v>0</v>
      </c>
      <c r="KJ10" s="12">
        <v>0</v>
      </c>
      <c r="KK10" s="12">
        <v>0</v>
      </c>
      <c r="KL10" s="12">
        <v>0</v>
      </c>
      <c r="KM10" s="12">
        <v>0</v>
      </c>
      <c r="KN10" s="12">
        <v>0</v>
      </c>
      <c r="KO10" s="12">
        <v>0</v>
      </c>
      <c r="KP10" s="12">
        <v>0</v>
      </c>
      <c r="KQ10" s="12">
        <v>0</v>
      </c>
      <c r="KR10" s="12">
        <v>0</v>
      </c>
      <c r="KS10" s="12">
        <v>0</v>
      </c>
      <c r="KT10" s="12">
        <v>0</v>
      </c>
      <c r="KU10" s="12">
        <v>0</v>
      </c>
      <c r="KV10" s="12">
        <v>0</v>
      </c>
      <c r="KW10" s="12">
        <v>0</v>
      </c>
      <c r="KX10" s="12">
        <v>0</v>
      </c>
      <c r="KY10" s="12">
        <v>0</v>
      </c>
      <c r="KZ10" s="12">
        <v>0</v>
      </c>
      <c r="LA10" s="12">
        <v>0</v>
      </c>
      <c r="LB10" s="12">
        <v>0</v>
      </c>
      <c r="LC10" s="12">
        <v>0</v>
      </c>
      <c r="LD10" s="12">
        <v>0</v>
      </c>
      <c r="LE10" s="12">
        <v>0</v>
      </c>
      <c r="LF10" s="12">
        <v>15530064</v>
      </c>
      <c r="LG10" s="12">
        <v>0</v>
      </c>
      <c r="LH10" s="12">
        <v>176880</v>
      </c>
      <c r="LI10" s="12">
        <v>15530064</v>
      </c>
      <c r="LJ10" s="12">
        <v>76128</v>
      </c>
      <c r="LK10" s="11" t="s">
        <v>499</v>
      </c>
      <c r="LL10" s="12">
        <v>0</v>
      </c>
      <c r="LM10" s="12">
        <v>0</v>
      </c>
      <c r="LN10" s="12">
        <v>0</v>
      </c>
      <c r="LO10" s="12">
        <v>0</v>
      </c>
      <c r="LP10" s="12">
        <v>0</v>
      </c>
      <c r="LQ10" s="12">
        <v>0</v>
      </c>
      <c r="LR10" s="12">
        <v>0</v>
      </c>
      <c r="LS10" s="12">
        <v>0</v>
      </c>
      <c r="LT10" s="12">
        <v>0</v>
      </c>
      <c r="LU10" s="12">
        <v>0</v>
      </c>
      <c r="LV10" s="12">
        <v>0</v>
      </c>
      <c r="LW10" s="12">
        <v>0</v>
      </c>
      <c r="LX10" s="12">
        <v>0</v>
      </c>
      <c r="LY10" s="12">
        <v>0</v>
      </c>
      <c r="LZ10" s="12">
        <v>0</v>
      </c>
      <c r="MA10" s="12">
        <v>0</v>
      </c>
      <c r="MB10" s="12">
        <v>0</v>
      </c>
      <c r="MC10" s="12">
        <v>0</v>
      </c>
      <c r="MD10" s="12">
        <v>0</v>
      </c>
      <c r="ME10" s="12">
        <v>176880</v>
      </c>
      <c r="MF10" s="12">
        <v>0</v>
      </c>
      <c r="MG10" s="12">
        <v>0</v>
      </c>
      <c r="MH10" s="12">
        <v>0</v>
      </c>
      <c r="MI10" s="12">
        <v>0</v>
      </c>
      <c r="MJ10" s="12">
        <v>0</v>
      </c>
      <c r="MK10" s="12">
        <v>0</v>
      </c>
      <c r="ML10" s="12">
        <v>0</v>
      </c>
      <c r="MM10" s="12">
        <v>0</v>
      </c>
      <c r="MN10" s="12">
        <v>0</v>
      </c>
      <c r="MO10" s="12">
        <v>0</v>
      </c>
      <c r="MP10" s="12">
        <v>0</v>
      </c>
      <c r="MQ10" s="12">
        <v>0</v>
      </c>
      <c r="MR10" s="12">
        <v>0</v>
      </c>
      <c r="MS10" s="12">
        <v>0</v>
      </c>
      <c r="MT10" s="12">
        <v>0</v>
      </c>
      <c r="MU10" s="12">
        <v>0</v>
      </c>
      <c r="MV10" s="12">
        <v>0</v>
      </c>
      <c r="MW10" s="12">
        <v>0</v>
      </c>
      <c r="MX10" s="12">
        <v>0</v>
      </c>
      <c r="MY10" s="12">
        <v>0</v>
      </c>
      <c r="MZ10" s="12">
        <v>0</v>
      </c>
      <c r="NA10" s="12">
        <v>15530064</v>
      </c>
      <c r="NB10" s="12">
        <v>0</v>
      </c>
      <c r="NC10" s="12">
        <v>0</v>
      </c>
      <c r="ND10" s="12">
        <v>176880</v>
      </c>
      <c r="NE10" s="12">
        <v>15530064</v>
      </c>
      <c r="NF10" s="12">
        <v>76128</v>
      </c>
      <c r="NG10" s="11" t="s">
        <v>499</v>
      </c>
      <c r="NH10" s="12">
        <v>0</v>
      </c>
      <c r="NI10" s="12">
        <v>0</v>
      </c>
      <c r="NJ10" s="12">
        <v>0</v>
      </c>
      <c r="NK10" s="12">
        <v>0</v>
      </c>
      <c r="NL10" s="12">
        <v>0</v>
      </c>
      <c r="NM10" s="12">
        <v>0</v>
      </c>
      <c r="NN10" s="12">
        <v>0</v>
      </c>
      <c r="NO10" s="12">
        <v>0</v>
      </c>
      <c r="NP10" s="12">
        <v>0</v>
      </c>
      <c r="NQ10" s="12">
        <v>0</v>
      </c>
      <c r="NR10" s="12">
        <v>0</v>
      </c>
      <c r="NS10" s="12">
        <v>0</v>
      </c>
      <c r="NT10" s="12">
        <v>0</v>
      </c>
      <c r="NU10" s="12">
        <v>0</v>
      </c>
      <c r="NV10" s="12">
        <v>0</v>
      </c>
      <c r="NW10" s="12">
        <v>0</v>
      </c>
      <c r="NX10" s="12">
        <v>0</v>
      </c>
      <c r="NY10" s="12">
        <v>0</v>
      </c>
      <c r="NZ10" s="12">
        <v>176880</v>
      </c>
      <c r="OA10" s="12">
        <v>0</v>
      </c>
      <c r="OB10" s="12">
        <v>0</v>
      </c>
      <c r="OC10" s="12">
        <v>0</v>
      </c>
      <c r="OD10" s="12">
        <v>0</v>
      </c>
      <c r="OE10" s="12">
        <v>0</v>
      </c>
      <c r="OF10" s="12">
        <v>0</v>
      </c>
      <c r="OG10" s="12">
        <v>0</v>
      </c>
      <c r="OH10" s="12">
        <v>0</v>
      </c>
      <c r="OI10" s="12">
        <v>0</v>
      </c>
      <c r="OJ10" s="12">
        <v>0</v>
      </c>
      <c r="OK10" s="12">
        <v>0</v>
      </c>
      <c r="OL10" s="12">
        <v>0</v>
      </c>
      <c r="OM10" s="12">
        <v>0</v>
      </c>
      <c r="ON10" s="12">
        <v>0</v>
      </c>
      <c r="OO10" s="12">
        <v>0</v>
      </c>
      <c r="OP10" s="12">
        <v>0</v>
      </c>
      <c r="OQ10" s="12">
        <v>0</v>
      </c>
      <c r="OR10" s="12">
        <v>0</v>
      </c>
      <c r="OS10" s="12">
        <v>0</v>
      </c>
      <c r="OT10" s="12">
        <v>0</v>
      </c>
      <c r="OU10" s="12">
        <v>15530064</v>
      </c>
      <c r="OV10" s="12">
        <v>0</v>
      </c>
      <c r="OW10" s="12">
        <v>0</v>
      </c>
      <c r="OX10" s="12">
        <v>176880</v>
      </c>
      <c r="OY10" s="12">
        <v>15530064</v>
      </c>
      <c r="OZ10" s="12">
        <v>76128</v>
      </c>
      <c r="PA10" s="11" t="s">
        <v>499</v>
      </c>
      <c r="PB10" s="12">
        <v>0</v>
      </c>
      <c r="PC10" s="12">
        <v>0</v>
      </c>
      <c r="PD10" s="12">
        <v>0</v>
      </c>
      <c r="PE10" s="12">
        <v>0</v>
      </c>
      <c r="PF10" s="12">
        <v>0</v>
      </c>
      <c r="PG10" s="12">
        <v>0</v>
      </c>
      <c r="PH10" s="12">
        <v>0</v>
      </c>
      <c r="PI10" s="12">
        <v>0</v>
      </c>
      <c r="PJ10" s="12">
        <v>0</v>
      </c>
      <c r="PK10" s="12">
        <v>0</v>
      </c>
      <c r="PL10" s="12">
        <v>0</v>
      </c>
      <c r="PM10" s="12">
        <v>0</v>
      </c>
      <c r="PN10" s="12">
        <v>0</v>
      </c>
      <c r="PO10" s="12">
        <v>176880</v>
      </c>
      <c r="PP10" s="12">
        <v>0</v>
      </c>
      <c r="PQ10" s="12">
        <v>0</v>
      </c>
      <c r="PR10" s="12">
        <v>0</v>
      </c>
      <c r="PS10" s="12">
        <v>0</v>
      </c>
      <c r="PT10" s="12">
        <v>0</v>
      </c>
      <c r="PU10" s="12">
        <v>0</v>
      </c>
      <c r="PV10" s="12">
        <v>0</v>
      </c>
      <c r="PW10" s="12">
        <v>0</v>
      </c>
      <c r="PX10" s="12">
        <v>0</v>
      </c>
      <c r="PY10" s="12">
        <v>0</v>
      </c>
      <c r="PZ10" s="12">
        <v>0</v>
      </c>
      <c r="QA10" s="12">
        <v>0</v>
      </c>
      <c r="QB10" s="12">
        <v>0</v>
      </c>
      <c r="QC10" s="12">
        <v>0</v>
      </c>
      <c r="QD10" s="12">
        <v>0</v>
      </c>
      <c r="QE10" s="12">
        <v>15530064</v>
      </c>
      <c r="QF10" s="12">
        <v>0</v>
      </c>
      <c r="QG10" s="12">
        <v>0</v>
      </c>
      <c r="QH10" s="12">
        <v>176880</v>
      </c>
      <c r="QI10" s="12">
        <v>15530064</v>
      </c>
      <c r="QJ10" s="12">
        <v>76128</v>
      </c>
      <c r="QK10" s="11" t="s">
        <v>499</v>
      </c>
      <c r="QL10" s="12">
        <v>0</v>
      </c>
      <c r="QM10" s="12">
        <v>0</v>
      </c>
      <c r="QN10" s="12">
        <v>0</v>
      </c>
      <c r="QO10" s="12">
        <v>0</v>
      </c>
      <c r="QP10" s="12">
        <v>0</v>
      </c>
      <c r="QQ10" s="12">
        <v>0</v>
      </c>
      <c r="QR10" s="12">
        <v>0</v>
      </c>
      <c r="QS10" s="12">
        <v>0</v>
      </c>
      <c r="QT10" s="12">
        <v>0</v>
      </c>
      <c r="QU10" s="12">
        <v>0</v>
      </c>
      <c r="QV10" s="12">
        <v>176880</v>
      </c>
      <c r="QW10" s="12">
        <v>0</v>
      </c>
      <c r="QX10" s="12">
        <v>0</v>
      </c>
      <c r="QY10" s="12">
        <v>0</v>
      </c>
      <c r="QZ10" s="12">
        <v>0</v>
      </c>
      <c r="RA10" s="12">
        <v>0</v>
      </c>
      <c r="RB10" s="12">
        <v>0</v>
      </c>
      <c r="RC10" s="12">
        <v>0</v>
      </c>
      <c r="RD10" s="12">
        <v>0</v>
      </c>
      <c r="RE10" s="12">
        <v>0</v>
      </c>
      <c r="RF10" s="12">
        <v>0</v>
      </c>
      <c r="RG10" s="12">
        <v>0</v>
      </c>
      <c r="RH10" s="12">
        <v>0</v>
      </c>
      <c r="RI10" s="12">
        <v>15530064</v>
      </c>
      <c r="RJ10" s="12">
        <v>0</v>
      </c>
      <c r="RK10" s="12">
        <v>0</v>
      </c>
      <c r="RL10" s="12">
        <v>176880</v>
      </c>
      <c r="RM10" s="12">
        <v>15530064</v>
      </c>
    </row>
    <row x14ac:dyDescent="0.25" r="11" customHeight="1" ht="18" customFormat="1" s="8">
      <c r="A11" s="9" t="s">
        <v>829</v>
      </c>
      <c r="B11" s="12">
        <v>0</v>
      </c>
      <c r="C11" s="16" t="s">
        <v>112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1" t="s">
        <v>112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1" t="s">
        <v>112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8573</v>
      </c>
      <c r="CQ11" s="11" t="s">
        <v>830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19920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1748976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19920</v>
      </c>
      <c r="EQ11" s="12">
        <v>1748976</v>
      </c>
      <c r="ER11" s="12">
        <v>14668</v>
      </c>
      <c r="ES11" s="11" t="s">
        <v>831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30000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4080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2634000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358224</v>
      </c>
      <c r="GT11" s="12">
        <v>0</v>
      </c>
      <c r="GU11" s="12">
        <v>0</v>
      </c>
      <c r="GV11" s="12">
        <v>34080</v>
      </c>
      <c r="GW11" s="12">
        <v>2992224</v>
      </c>
      <c r="GX11" s="12">
        <v>27889</v>
      </c>
      <c r="GY11" s="11" t="s">
        <v>832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30000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33120</v>
      </c>
      <c r="IA11" s="12">
        <v>1680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2634000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2907936</v>
      </c>
      <c r="JE11" s="12">
        <v>147504</v>
      </c>
      <c r="JF11" s="12">
        <v>0</v>
      </c>
      <c r="JG11" s="12">
        <v>0</v>
      </c>
      <c r="JH11" s="12">
        <v>64800</v>
      </c>
      <c r="JI11" s="12">
        <v>5689440</v>
      </c>
      <c r="JJ11" s="12">
        <v>29749</v>
      </c>
      <c r="JK11" s="11" t="s">
        <v>833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12240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16560</v>
      </c>
      <c r="KH11" s="12">
        <v>40320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1074672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1453968</v>
      </c>
      <c r="LF11" s="12">
        <v>3540096</v>
      </c>
      <c r="LG11" s="12">
        <v>0</v>
      </c>
      <c r="LH11" s="12">
        <v>69120</v>
      </c>
      <c r="LI11" s="12">
        <v>6068736</v>
      </c>
      <c r="LJ11" s="12">
        <v>70756</v>
      </c>
      <c r="LK11" s="11" t="s">
        <v>834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24960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26400</v>
      </c>
      <c r="ME11" s="12">
        <v>113040</v>
      </c>
      <c r="MF11" s="12">
        <v>0</v>
      </c>
      <c r="MG11" s="12">
        <v>0</v>
      </c>
      <c r="MH11" s="12">
        <v>0</v>
      </c>
      <c r="MI11" s="12">
        <v>0</v>
      </c>
      <c r="MJ11" s="12">
        <v>0</v>
      </c>
      <c r="MK11" s="12">
        <v>0</v>
      </c>
      <c r="ML11" s="12">
        <v>0</v>
      </c>
      <c r="MM11" s="12">
        <v>0</v>
      </c>
      <c r="MN11" s="12">
        <v>0</v>
      </c>
      <c r="MO11" s="12">
        <v>0</v>
      </c>
      <c r="MP11" s="12">
        <v>0</v>
      </c>
      <c r="MQ11" s="12">
        <v>0</v>
      </c>
      <c r="MR11" s="12">
        <v>0</v>
      </c>
      <c r="MS11" s="12">
        <v>0</v>
      </c>
      <c r="MT11" s="12">
        <v>2191487</v>
      </c>
      <c r="MU11" s="12">
        <v>0</v>
      </c>
      <c r="MV11" s="12">
        <v>0</v>
      </c>
      <c r="MW11" s="12">
        <v>0</v>
      </c>
      <c r="MX11" s="12">
        <v>0</v>
      </c>
      <c r="MY11" s="12">
        <v>0</v>
      </c>
      <c r="MZ11" s="12">
        <v>2317920</v>
      </c>
      <c r="NA11" s="12">
        <v>9924911</v>
      </c>
      <c r="NB11" s="12">
        <v>0</v>
      </c>
      <c r="NC11" s="12">
        <v>0</v>
      </c>
      <c r="ND11" s="12">
        <v>164400</v>
      </c>
      <c r="NE11" s="12">
        <v>14434319</v>
      </c>
      <c r="NF11" s="12">
        <v>76128</v>
      </c>
      <c r="NG11" s="11" t="s">
        <v>499</v>
      </c>
      <c r="NH11" s="12">
        <v>0</v>
      </c>
      <c r="NI11" s="12">
        <v>0</v>
      </c>
      <c r="NJ11" s="12">
        <v>0</v>
      </c>
      <c r="NK11" s="12">
        <v>0</v>
      </c>
      <c r="NL11" s="12">
        <v>0</v>
      </c>
      <c r="NM11" s="12">
        <v>0</v>
      </c>
      <c r="NN11" s="12">
        <v>0</v>
      </c>
      <c r="NO11" s="12">
        <v>0</v>
      </c>
      <c r="NP11" s="12">
        <v>0</v>
      </c>
      <c r="NQ11" s="12">
        <v>0</v>
      </c>
      <c r="NR11" s="12">
        <v>0</v>
      </c>
      <c r="NS11" s="12">
        <v>0</v>
      </c>
      <c r="NT11" s="12">
        <v>0</v>
      </c>
      <c r="NU11" s="12">
        <v>0</v>
      </c>
      <c r="NV11" s="12">
        <v>0</v>
      </c>
      <c r="NW11" s="12">
        <v>0</v>
      </c>
      <c r="NX11" s="12">
        <v>0</v>
      </c>
      <c r="NY11" s="12">
        <v>0</v>
      </c>
      <c r="NZ11" s="12">
        <v>176880</v>
      </c>
      <c r="OA11" s="12">
        <v>0</v>
      </c>
      <c r="OB11" s="12">
        <v>0</v>
      </c>
      <c r="OC11" s="12">
        <v>0</v>
      </c>
      <c r="OD11" s="12">
        <v>0</v>
      </c>
      <c r="OE11" s="12">
        <v>0</v>
      </c>
      <c r="OF11" s="12">
        <v>0</v>
      </c>
      <c r="OG11" s="12">
        <v>0</v>
      </c>
      <c r="OH11" s="12">
        <v>0</v>
      </c>
      <c r="OI11" s="12">
        <v>0</v>
      </c>
      <c r="OJ11" s="12">
        <v>0</v>
      </c>
      <c r="OK11" s="12">
        <v>0</v>
      </c>
      <c r="OL11" s="12">
        <v>0</v>
      </c>
      <c r="OM11" s="12">
        <v>0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15530064</v>
      </c>
      <c r="OV11" s="12">
        <v>0</v>
      </c>
      <c r="OW11" s="12">
        <v>0</v>
      </c>
      <c r="OX11" s="12">
        <v>176880</v>
      </c>
      <c r="OY11" s="12">
        <v>15530064</v>
      </c>
      <c r="OZ11" s="12">
        <v>76128</v>
      </c>
      <c r="PA11" s="11" t="s">
        <v>499</v>
      </c>
      <c r="PB11" s="12">
        <v>0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2">
        <v>176880</v>
      </c>
      <c r="PP11" s="12">
        <v>0</v>
      </c>
      <c r="PQ11" s="12">
        <v>0</v>
      </c>
      <c r="PR11" s="12">
        <v>0</v>
      </c>
      <c r="PS11" s="12">
        <v>0</v>
      </c>
      <c r="PT11" s="12">
        <v>0</v>
      </c>
      <c r="PU11" s="12">
        <v>0</v>
      </c>
      <c r="PV11" s="12">
        <v>0</v>
      </c>
      <c r="PW11" s="12">
        <v>0</v>
      </c>
      <c r="PX11" s="12">
        <v>0</v>
      </c>
      <c r="PY11" s="12">
        <v>0</v>
      </c>
      <c r="PZ11" s="12">
        <v>0</v>
      </c>
      <c r="QA11" s="12">
        <v>0</v>
      </c>
      <c r="QB11" s="12">
        <v>0</v>
      </c>
      <c r="QC11" s="12">
        <v>0</v>
      </c>
      <c r="QD11" s="12">
        <v>0</v>
      </c>
      <c r="QE11" s="12">
        <v>15530064</v>
      </c>
      <c r="QF11" s="12">
        <v>0</v>
      </c>
      <c r="QG11" s="12">
        <v>0</v>
      </c>
      <c r="QH11" s="12">
        <v>176880</v>
      </c>
      <c r="QI11" s="12">
        <v>15530064</v>
      </c>
      <c r="QJ11" s="12">
        <v>76128</v>
      </c>
      <c r="QK11" s="11" t="s">
        <v>499</v>
      </c>
      <c r="QL11" s="12">
        <v>0</v>
      </c>
      <c r="QM11" s="12">
        <v>0</v>
      </c>
      <c r="QN11" s="12">
        <v>0</v>
      </c>
      <c r="QO11" s="12">
        <v>0</v>
      </c>
      <c r="QP11" s="12">
        <v>0</v>
      </c>
      <c r="QQ11" s="12">
        <v>0</v>
      </c>
      <c r="QR11" s="12">
        <v>0</v>
      </c>
      <c r="QS11" s="12">
        <v>0</v>
      </c>
      <c r="QT11" s="12">
        <v>0</v>
      </c>
      <c r="QU11" s="12">
        <v>0</v>
      </c>
      <c r="QV11" s="12">
        <v>176880</v>
      </c>
      <c r="QW11" s="12">
        <v>0</v>
      </c>
      <c r="QX11" s="12">
        <v>0</v>
      </c>
      <c r="QY11" s="12">
        <v>0</v>
      </c>
      <c r="QZ11" s="12">
        <v>0</v>
      </c>
      <c r="RA11" s="12">
        <v>0</v>
      </c>
      <c r="RB11" s="12">
        <v>0</v>
      </c>
      <c r="RC11" s="12">
        <v>0</v>
      </c>
      <c r="RD11" s="12">
        <v>0</v>
      </c>
      <c r="RE11" s="12">
        <v>0</v>
      </c>
      <c r="RF11" s="12">
        <v>0</v>
      </c>
      <c r="RG11" s="12">
        <v>0</v>
      </c>
      <c r="RH11" s="12">
        <v>0</v>
      </c>
      <c r="RI11" s="12">
        <v>15530064</v>
      </c>
      <c r="RJ11" s="12">
        <v>0</v>
      </c>
      <c r="RK11" s="12">
        <v>0</v>
      </c>
      <c r="RL11" s="12">
        <v>176880</v>
      </c>
      <c r="RM11" s="12">
        <v>15530064</v>
      </c>
    </row>
    <row x14ac:dyDescent="0.25" r="12" customHeight="1" ht="18" customFormat="1" s="8">
      <c r="A12" s="9" t="s">
        <v>835</v>
      </c>
      <c r="B12" s="12">
        <v>0</v>
      </c>
      <c r="C12" s="16" t="s">
        <v>112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1" t="s">
        <v>112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1" t="s">
        <v>112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1" t="s">
        <v>112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1" t="s">
        <v>112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1" t="s">
        <v>112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1" t="s">
        <v>112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1" t="s">
        <v>112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  <c r="LX12" s="12">
        <v>0</v>
      </c>
      <c r="LY12" s="12">
        <v>0</v>
      </c>
      <c r="LZ12" s="12">
        <v>0</v>
      </c>
      <c r="MA12" s="12">
        <v>0</v>
      </c>
      <c r="MB12" s="12">
        <v>0</v>
      </c>
      <c r="MC12" s="12">
        <v>0</v>
      </c>
      <c r="MD12" s="12">
        <v>0</v>
      </c>
      <c r="ME12" s="12">
        <v>0</v>
      </c>
      <c r="MF12" s="12">
        <v>0</v>
      </c>
      <c r="MG12" s="12">
        <v>0</v>
      </c>
      <c r="MH12" s="12">
        <v>0</v>
      </c>
      <c r="MI12" s="12">
        <v>0</v>
      </c>
      <c r="MJ12" s="12">
        <v>0</v>
      </c>
      <c r="MK12" s="12">
        <v>0</v>
      </c>
      <c r="ML12" s="12">
        <v>0</v>
      </c>
      <c r="MM12" s="12">
        <v>0</v>
      </c>
      <c r="MN12" s="12">
        <v>0</v>
      </c>
      <c r="MO12" s="12">
        <v>0</v>
      </c>
      <c r="MP12" s="12">
        <v>0</v>
      </c>
      <c r="MQ12" s="12">
        <v>0</v>
      </c>
      <c r="MR12" s="12">
        <v>0</v>
      </c>
      <c r="MS12" s="12">
        <v>0</v>
      </c>
      <c r="MT12" s="12">
        <v>0</v>
      </c>
      <c r="MU12" s="12">
        <v>0</v>
      </c>
      <c r="MV12" s="12">
        <v>0</v>
      </c>
      <c r="MW12" s="12">
        <v>0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42351</v>
      </c>
      <c r="NG12" s="11" t="s">
        <v>836</v>
      </c>
      <c r="NH12" s="12">
        <v>0</v>
      </c>
      <c r="NI12" s="12">
        <v>0</v>
      </c>
      <c r="NJ12" s="12">
        <v>0</v>
      </c>
      <c r="NK12" s="12">
        <v>0</v>
      </c>
      <c r="NL12" s="12">
        <v>0</v>
      </c>
      <c r="NM12" s="12">
        <v>0</v>
      </c>
      <c r="NN12" s="12">
        <v>0</v>
      </c>
      <c r="NO12" s="12">
        <v>0</v>
      </c>
      <c r="NP12" s="12">
        <v>0</v>
      </c>
      <c r="NQ12" s="12">
        <v>0</v>
      </c>
      <c r="NR12" s="12">
        <v>0</v>
      </c>
      <c r="NS12" s="12">
        <v>39840</v>
      </c>
      <c r="NT12" s="12">
        <v>0</v>
      </c>
      <c r="NU12" s="12">
        <v>0</v>
      </c>
      <c r="NV12" s="12">
        <v>0</v>
      </c>
      <c r="NW12" s="12">
        <v>0</v>
      </c>
      <c r="NX12" s="12">
        <v>0</v>
      </c>
      <c r="NY12" s="12">
        <v>32400</v>
      </c>
      <c r="NZ12" s="12">
        <v>26160</v>
      </c>
      <c r="OA12" s="12">
        <v>0</v>
      </c>
      <c r="OB12" s="12">
        <v>0</v>
      </c>
      <c r="OC12" s="12">
        <v>0</v>
      </c>
      <c r="OD12" s="12">
        <v>0</v>
      </c>
      <c r="OE12" s="12">
        <v>0</v>
      </c>
      <c r="OF12" s="12">
        <v>0</v>
      </c>
      <c r="OG12" s="12">
        <v>0</v>
      </c>
      <c r="OH12" s="12">
        <v>0</v>
      </c>
      <c r="OI12" s="12">
        <v>0</v>
      </c>
      <c r="OJ12" s="12">
        <v>0</v>
      </c>
      <c r="OK12" s="12">
        <v>0</v>
      </c>
      <c r="OL12" s="12">
        <v>0</v>
      </c>
      <c r="OM12" s="12">
        <v>0</v>
      </c>
      <c r="ON12" s="12">
        <v>3497952</v>
      </c>
      <c r="OO12" s="12">
        <v>0</v>
      </c>
      <c r="OP12" s="12">
        <v>0</v>
      </c>
      <c r="OQ12" s="12">
        <v>0</v>
      </c>
      <c r="OR12" s="12">
        <v>0</v>
      </c>
      <c r="OS12" s="12">
        <v>0</v>
      </c>
      <c r="OT12" s="12">
        <v>2844720</v>
      </c>
      <c r="OU12" s="12">
        <v>2296847</v>
      </c>
      <c r="OV12" s="12">
        <v>0</v>
      </c>
      <c r="OW12" s="12">
        <v>0</v>
      </c>
      <c r="OX12" s="12">
        <v>98400</v>
      </c>
      <c r="OY12" s="12">
        <v>8639520</v>
      </c>
      <c r="OZ12" s="12">
        <v>76128</v>
      </c>
      <c r="PA12" s="11" t="s">
        <v>499</v>
      </c>
      <c r="PB12" s="12">
        <v>0</v>
      </c>
      <c r="PC12" s="12">
        <v>0</v>
      </c>
      <c r="PD12" s="12">
        <v>0</v>
      </c>
      <c r="PE12" s="12">
        <v>0</v>
      </c>
      <c r="PF12" s="12">
        <v>0</v>
      </c>
      <c r="PG12" s="12">
        <v>0</v>
      </c>
      <c r="PH12" s="12">
        <v>0</v>
      </c>
      <c r="PI12" s="12">
        <v>0</v>
      </c>
      <c r="PJ12" s="12">
        <v>0</v>
      </c>
      <c r="PK12" s="12">
        <v>0</v>
      </c>
      <c r="PL12" s="12">
        <v>0</v>
      </c>
      <c r="PM12" s="12">
        <v>0</v>
      </c>
      <c r="PN12" s="12">
        <v>0</v>
      </c>
      <c r="PO12" s="12">
        <v>176880</v>
      </c>
      <c r="PP12" s="12">
        <v>0</v>
      </c>
      <c r="PQ12" s="12">
        <v>0</v>
      </c>
      <c r="PR12" s="12">
        <v>0</v>
      </c>
      <c r="PS12" s="12">
        <v>0</v>
      </c>
      <c r="PT12" s="12">
        <v>0</v>
      </c>
      <c r="PU12" s="12">
        <v>0</v>
      </c>
      <c r="PV12" s="12">
        <v>0</v>
      </c>
      <c r="PW12" s="12">
        <v>0</v>
      </c>
      <c r="PX12" s="12">
        <v>0</v>
      </c>
      <c r="PY12" s="12">
        <v>0</v>
      </c>
      <c r="PZ12" s="12">
        <v>0</v>
      </c>
      <c r="QA12" s="12">
        <v>0</v>
      </c>
      <c r="QB12" s="12">
        <v>0</v>
      </c>
      <c r="QC12" s="12">
        <v>0</v>
      </c>
      <c r="QD12" s="12">
        <v>0</v>
      </c>
      <c r="QE12" s="12">
        <v>15530064</v>
      </c>
      <c r="QF12" s="12">
        <v>0</v>
      </c>
      <c r="QG12" s="12">
        <v>0</v>
      </c>
      <c r="QH12" s="12">
        <v>176880</v>
      </c>
      <c r="QI12" s="12">
        <v>15530064</v>
      </c>
      <c r="QJ12" s="12">
        <v>59807</v>
      </c>
      <c r="QK12" s="11" t="s">
        <v>837</v>
      </c>
      <c r="QL12" s="12">
        <v>0</v>
      </c>
      <c r="QM12" s="12">
        <v>0</v>
      </c>
      <c r="QN12" s="12">
        <v>0</v>
      </c>
      <c r="QO12" s="12">
        <v>0</v>
      </c>
      <c r="QP12" s="12">
        <v>0</v>
      </c>
      <c r="QQ12" s="12">
        <v>49920</v>
      </c>
      <c r="QR12" s="12">
        <v>0</v>
      </c>
      <c r="QS12" s="12">
        <v>0</v>
      </c>
      <c r="QT12" s="12">
        <v>0</v>
      </c>
      <c r="QU12" s="12">
        <v>42960</v>
      </c>
      <c r="QV12" s="12">
        <v>46080</v>
      </c>
      <c r="QW12" s="12">
        <v>0</v>
      </c>
      <c r="QX12" s="12">
        <v>0</v>
      </c>
      <c r="QY12" s="12">
        <v>0</v>
      </c>
      <c r="QZ12" s="12">
        <v>0</v>
      </c>
      <c r="RA12" s="12">
        <v>0</v>
      </c>
      <c r="RB12" s="12">
        <v>0</v>
      </c>
      <c r="RC12" s="12">
        <v>0</v>
      </c>
      <c r="RD12" s="12">
        <v>4382975</v>
      </c>
      <c r="RE12" s="12">
        <v>0</v>
      </c>
      <c r="RF12" s="12">
        <v>0</v>
      </c>
      <c r="RG12" s="12">
        <v>0</v>
      </c>
      <c r="RH12" s="12">
        <v>3771887</v>
      </c>
      <c r="RI12" s="12">
        <v>4045823</v>
      </c>
      <c r="RJ12" s="12">
        <v>0</v>
      </c>
      <c r="RK12" s="12">
        <v>0</v>
      </c>
      <c r="RL12" s="12">
        <v>138960</v>
      </c>
      <c r="RM12" s="12">
        <v>12200687</v>
      </c>
    </row>
    <row x14ac:dyDescent="0.25" r="13" customHeight="1" ht="18" customFormat="1" s="8">
      <c r="A13" s="9" t="s">
        <v>838</v>
      </c>
      <c r="B13" s="12">
        <v>0</v>
      </c>
      <c r="C13" s="16" t="s">
        <v>112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1" t="s">
        <v>112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1" t="s">
        <v>112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1" t="s">
        <v>112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1" t="s">
        <v>112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52925</v>
      </c>
      <c r="GY13" s="11" t="s">
        <v>839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65040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10796640</v>
      </c>
      <c r="JH13" s="12">
        <v>65040</v>
      </c>
      <c r="JI13" s="12">
        <v>10796640</v>
      </c>
      <c r="JJ13" s="12">
        <v>75384</v>
      </c>
      <c r="JK13" s="11" t="s">
        <v>840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92640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0</v>
      </c>
      <c r="LG13" s="12">
        <v>15378240</v>
      </c>
      <c r="LH13" s="12">
        <v>92640</v>
      </c>
      <c r="LI13" s="12">
        <v>15378240</v>
      </c>
      <c r="LJ13" s="12">
        <v>76165</v>
      </c>
      <c r="LK13" s="11" t="s">
        <v>783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  <c r="LX13" s="12">
        <v>0</v>
      </c>
      <c r="LY13" s="12">
        <v>0</v>
      </c>
      <c r="LZ13" s="12">
        <v>0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93600</v>
      </c>
      <c r="MG13" s="12">
        <v>0</v>
      </c>
      <c r="MH13" s="12">
        <v>0</v>
      </c>
      <c r="MI13" s="12">
        <v>0</v>
      </c>
      <c r="MJ13" s="12">
        <v>0</v>
      </c>
      <c r="MK13" s="12">
        <v>0</v>
      </c>
      <c r="ML13" s="12">
        <v>0</v>
      </c>
      <c r="MM13" s="12">
        <v>0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0</v>
      </c>
      <c r="MU13" s="12">
        <v>0</v>
      </c>
      <c r="MV13" s="12">
        <v>0</v>
      </c>
      <c r="MW13" s="12">
        <v>0</v>
      </c>
      <c r="MX13" s="12">
        <v>0</v>
      </c>
      <c r="MY13" s="12">
        <v>0</v>
      </c>
      <c r="MZ13" s="12">
        <v>0</v>
      </c>
      <c r="NA13" s="12">
        <v>0</v>
      </c>
      <c r="NB13" s="12">
        <v>15537600</v>
      </c>
      <c r="NC13" s="12">
        <v>0</v>
      </c>
      <c r="ND13" s="12">
        <v>93600</v>
      </c>
      <c r="NE13" s="12">
        <v>15537600</v>
      </c>
      <c r="NF13" s="12">
        <v>76165</v>
      </c>
      <c r="NG13" s="11" t="s">
        <v>783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0</v>
      </c>
      <c r="NN13" s="12">
        <v>0</v>
      </c>
      <c r="NO13" s="12">
        <v>0</v>
      </c>
      <c r="NP13" s="12">
        <v>0</v>
      </c>
      <c r="NQ13" s="12">
        <v>0</v>
      </c>
      <c r="NR13" s="12">
        <v>0</v>
      </c>
      <c r="NS13" s="12">
        <v>0</v>
      </c>
      <c r="NT13" s="12">
        <v>0</v>
      </c>
      <c r="NU13" s="12">
        <v>0</v>
      </c>
      <c r="NV13" s="12">
        <v>0</v>
      </c>
      <c r="NW13" s="12">
        <v>0</v>
      </c>
      <c r="NX13" s="12">
        <v>0</v>
      </c>
      <c r="NY13" s="12">
        <v>0</v>
      </c>
      <c r="NZ13" s="12">
        <v>0</v>
      </c>
      <c r="OA13" s="12">
        <v>93600</v>
      </c>
      <c r="OB13" s="12">
        <v>0</v>
      </c>
      <c r="OC13" s="12">
        <v>0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0</v>
      </c>
      <c r="OJ13" s="12">
        <v>0</v>
      </c>
      <c r="OK13" s="12">
        <v>0</v>
      </c>
      <c r="OL13" s="12">
        <v>0</v>
      </c>
      <c r="OM13" s="12">
        <v>0</v>
      </c>
      <c r="ON13" s="12">
        <v>0</v>
      </c>
      <c r="OO13" s="12">
        <v>0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15537600</v>
      </c>
      <c r="OW13" s="12">
        <v>0</v>
      </c>
      <c r="OX13" s="12">
        <v>93600</v>
      </c>
      <c r="OY13" s="12">
        <v>15537600</v>
      </c>
      <c r="OZ13" s="12">
        <v>76165</v>
      </c>
      <c r="PA13" s="11" t="s">
        <v>783</v>
      </c>
      <c r="PB13" s="12">
        <v>0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0</v>
      </c>
      <c r="PN13" s="12">
        <v>0</v>
      </c>
      <c r="PO13" s="12">
        <v>0</v>
      </c>
      <c r="PP13" s="12">
        <v>93600</v>
      </c>
      <c r="PQ13" s="12">
        <v>0</v>
      </c>
      <c r="PR13" s="12">
        <v>0</v>
      </c>
      <c r="PS13" s="12">
        <v>0</v>
      </c>
      <c r="PT13" s="12">
        <v>0</v>
      </c>
      <c r="PU13" s="12">
        <v>0</v>
      </c>
      <c r="PV13" s="12">
        <v>0</v>
      </c>
      <c r="PW13" s="12">
        <v>0</v>
      </c>
      <c r="PX13" s="12">
        <v>0</v>
      </c>
      <c r="PY13" s="12">
        <v>0</v>
      </c>
      <c r="PZ13" s="12">
        <v>0</v>
      </c>
      <c r="QA13" s="12">
        <v>0</v>
      </c>
      <c r="QB13" s="12">
        <v>0</v>
      </c>
      <c r="QC13" s="12">
        <v>0</v>
      </c>
      <c r="QD13" s="12">
        <v>0</v>
      </c>
      <c r="QE13" s="12">
        <v>0</v>
      </c>
      <c r="QF13" s="12">
        <v>15537600</v>
      </c>
      <c r="QG13" s="12">
        <v>0</v>
      </c>
      <c r="QH13" s="12">
        <v>93600</v>
      </c>
      <c r="QI13" s="12">
        <v>15537600</v>
      </c>
      <c r="QJ13" s="12">
        <v>76165</v>
      </c>
      <c r="QK13" s="11" t="s">
        <v>783</v>
      </c>
      <c r="QL13" s="12">
        <v>0</v>
      </c>
      <c r="QM13" s="12">
        <v>0</v>
      </c>
      <c r="QN13" s="12">
        <v>0</v>
      </c>
      <c r="QO13" s="12">
        <v>0</v>
      </c>
      <c r="QP13" s="12">
        <v>0</v>
      </c>
      <c r="QQ13" s="12">
        <v>0</v>
      </c>
      <c r="QR13" s="12">
        <v>0</v>
      </c>
      <c r="QS13" s="12">
        <v>0</v>
      </c>
      <c r="QT13" s="12">
        <v>0</v>
      </c>
      <c r="QU13" s="12">
        <v>0</v>
      </c>
      <c r="QV13" s="12">
        <v>0</v>
      </c>
      <c r="QW13" s="12">
        <v>93600</v>
      </c>
      <c r="QX13" s="12">
        <v>0</v>
      </c>
      <c r="QY13" s="12">
        <v>0</v>
      </c>
      <c r="QZ13" s="12">
        <v>0</v>
      </c>
      <c r="RA13" s="12">
        <v>0</v>
      </c>
      <c r="RB13" s="12">
        <v>0</v>
      </c>
      <c r="RC13" s="12">
        <v>0</v>
      </c>
      <c r="RD13" s="12">
        <v>0</v>
      </c>
      <c r="RE13" s="12">
        <v>0</v>
      </c>
      <c r="RF13" s="12">
        <v>0</v>
      </c>
      <c r="RG13" s="12">
        <v>0</v>
      </c>
      <c r="RH13" s="12">
        <v>0</v>
      </c>
      <c r="RI13" s="12">
        <v>0</v>
      </c>
      <c r="RJ13" s="12">
        <v>15537600</v>
      </c>
      <c r="RK13" s="12">
        <v>0</v>
      </c>
      <c r="RL13" s="12">
        <v>93600</v>
      </c>
      <c r="RM13" s="12">
        <v>15537600</v>
      </c>
    </row>
    <row x14ac:dyDescent="0.25" r="14" customHeight="1" ht="18" customFormat="1" s="8">
      <c r="A14" s="9" t="s">
        <v>841</v>
      </c>
      <c r="B14" s="12">
        <v>0</v>
      </c>
      <c r="C14" s="16" t="s">
        <v>112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1" t="s">
        <v>112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1" t="s">
        <v>112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620</v>
      </c>
      <c r="CQ14" s="11" t="s">
        <v>842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240</v>
      </c>
      <c r="CZ14" s="12">
        <v>240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240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240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29280</v>
      </c>
      <c r="DY14" s="12">
        <v>47520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17448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32160</v>
      </c>
      <c r="EP14" s="12">
        <v>960</v>
      </c>
      <c r="EQ14" s="12">
        <v>126408</v>
      </c>
      <c r="ER14" s="12">
        <v>21963</v>
      </c>
      <c r="ES14" s="11" t="s">
        <v>843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240</v>
      </c>
      <c r="FB14" s="12">
        <v>240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240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43680</v>
      </c>
      <c r="FQ14" s="12">
        <v>24480</v>
      </c>
      <c r="FR14" s="12">
        <v>0</v>
      </c>
      <c r="FS14" s="12">
        <v>0</v>
      </c>
      <c r="FT14" s="12">
        <v>240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29280</v>
      </c>
      <c r="GC14" s="12">
        <v>47520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17448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2843567</v>
      </c>
      <c r="GR14" s="12">
        <v>1510416</v>
      </c>
      <c r="GS14" s="12">
        <v>0</v>
      </c>
      <c r="GT14" s="12">
        <v>0</v>
      </c>
      <c r="GU14" s="12">
        <v>32160</v>
      </c>
      <c r="GV14" s="12">
        <v>69120</v>
      </c>
      <c r="GW14" s="12">
        <v>4480392</v>
      </c>
      <c r="GX14" s="12">
        <v>40175</v>
      </c>
      <c r="GY14" s="11" t="s">
        <v>844</v>
      </c>
      <c r="GZ14" s="12">
        <v>0</v>
      </c>
      <c r="HA14" s="12">
        <v>0</v>
      </c>
      <c r="HB14" s="12">
        <v>45360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240</v>
      </c>
      <c r="HI14" s="12">
        <v>240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240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43680</v>
      </c>
      <c r="HX14" s="12">
        <v>24480</v>
      </c>
      <c r="HY14" s="12">
        <v>13680</v>
      </c>
      <c r="HZ14" s="12">
        <v>0</v>
      </c>
      <c r="IA14" s="12">
        <v>0</v>
      </c>
      <c r="IB14" s="12">
        <v>240</v>
      </c>
      <c r="IC14" s="12">
        <v>0</v>
      </c>
      <c r="ID14" s="12">
        <v>0</v>
      </c>
      <c r="IE14" s="12">
        <v>0</v>
      </c>
      <c r="IF14" s="12">
        <v>2871287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29280</v>
      </c>
      <c r="IM14" s="12">
        <v>47520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17448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2843567</v>
      </c>
      <c r="JB14" s="12">
        <v>1510416</v>
      </c>
      <c r="JC14" s="12">
        <v>844056</v>
      </c>
      <c r="JD14" s="12">
        <v>0</v>
      </c>
      <c r="JE14" s="12">
        <v>0</v>
      </c>
      <c r="JF14" s="12">
        <v>32160</v>
      </c>
      <c r="JG14" s="12">
        <v>0</v>
      </c>
      <c r="JH14" s="12">
        <v>128160</v>
      </c>
      <c r="JI14" s="12">
        <v>8195735</v>
      </c>
      <c r="JJ14" s="12">
        <v>76181</v>
      </c>
      <c r="JK14" s="11" t="s">
        <v>465</v>
      </c>
      <c r="JL14" s="12">
        <v>0</v>
      </c>
      <c r="JM14" s="12">
        <v>0</v>
      </c>
      <c r="JN14" s="12">
        <v>120240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89280</v>
      </c>
      <c r="KE14" s="12">
        <v>0</v>
      </c>
      <c r="KF14" s="12">
        <v>34320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7611192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5812127</v>
      </c>
      <c r="LC14" s="12">
        <v>0</v>
      </c>
      <c r="LD14" s="12">
        <v>2117544</v>
      </c>
      <c r="LE14" s="12">
        <v>0</v>
      </c>
      <c r="LF14" s="12">
        <v>0</v>
      </c>
      <c r="LG14" s="12">
        <v>0</v>
      </c>
      <c r="LH14" s="12">
        <v>243840</v>
      </c>
      <c r="LI14" s="12">
        <v>15540864</v>
      </c>
      <c r="LJ14" s="12">
        <v>76164</v>
      </c>
      <c r="LK14" s="11" t="s">
        <v>783</v>
      </c>
      <c r="LL14" s="12">
        <v>139440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70560</v>
      </c>
      <c r="MB14" s="12">
        <v>0</v>
      </c>
      <c r="MC14" s="12">
        <v>34320</v>
      </c>
      <c r="MD14" s="12">
        <v>0</v>
      </c>
      <c r="ME14" s="12">
        <v>0</v>
      </c>
      <c r="MF14" s="12">
        <v>0</v>
      </c>
      <c r="MG14" s="12">
        <v>0</v>
      </c>
      <c r="MH14" s="12">
        <v>8826551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s="12">
        <v>0</v>
      </c>
      <c r="MV14" s="12">
        <v>0</v>
      </c>
      <c r="MW14" s="12">
        <v>4593455</v>
      </c>
      <c r="MX14" s="12">
        <v>0</v>
      </c>
      <c r="MY14" s="12">
        <v>2117544</v>
      </c>
      <c r="MZ14" s="12">
        <v>0</v>
      </c>
      <c r="NA14" s="12">
        <v>0</v>
      </c>
      <c r="NB14" s="12">
        <v>0</v>
      </c>
      <c r="NC14" s="12">
        <v>0</v>
      </c>
      <c r="ND14" s="12">
        <v>244320</v>
      </c>
      <c r="NE14" s="12">
        <v>15537551</v>
      </c>
      <c r="NF14" s="12">
        <v>76210</v>
      </c>
      <c r="NG14" s="11" t="s">
        <v>467</v>
      </c>
      <c r="NH14" s="12">
        <v>142560</v>
      </c>
      <c r="NI14" s="12">
        <v>0</v>
      </c>
      <c r="NJ14" s="12">
        <v>0</v>
      </c>
      <c r="NK14" s="12">
        <v>0</v>
      </c>
      <c r="NL14" s="12">
        <v>0</v>
      </c>
      <c r="NM14" s="12">
        <v>0</v>
      </c>
      <c r="NN14" s="12">
        <v>0</v>
      </c>
      <c r="NO14" s="12">
        <v>0</v>
      </c>
      <c r="NP14" s="12">
        <v>0</v>
      </c>
      <c r="NQ14" s="12">
        <v>0</v>
      </c>
      <c r="NR14" s="12">
        <v>0</v>
      </c>
      <c r="NS14" s="12">
        <v>0</v>
      </c>
      <c r="NT14" s="12">
        <v>0</v>
      </c>
      <c r="NU14" s="12">
        <v>0</v>
      </c>
      <c r="NV14" s="12">
        <v>67440</v>
      </c>
      <c r="NW14" s="12">
        <v>240</v>
      </c>
      <c r="NX14" s="12">
        <v>34320</v>
      </c>
      <c r="NY14" s="12">
        <v>0</v>
      </c>
      <c r="NZ14" s="12">
        <v>0</v>
      </c>
      <c r="OA14" s="12">
        <v>0</v>
      </c>
      <c r="OB14" s="12">
        <v>0</v>
      </c>
      <c r="OC14" s="12">
        <v>9024048</v>
      </c>
      <c r="OD14" s="12">
        <v>0</v>
      </c>
      <c r="OE14" s="12">
        <v>0</v>
      </c>
      <c r="OF14" s="12">
        <v>0</v>
      </c>
      <c r="OG14" s="12">
        <v>0</v>
      </c>
      <c r="OH14" s="12">
        <v>0</v>
      </c>
      <c r="OI14" s="12">
        <v>0</v>
      </c>
      <c r="OJ14" s="12">
        <v>0</v>
      </c>
      <c r="OK14" s="12">
        <v>0</v>
      </c>
      <c r="OL14" s="12">
        <v>0</v>
      </c>
      <c r="OM14" s="12">
        <v>0</v>
      </c>
      <c r="ON14" s="12">
        <v>0</v>
      </c>
      <c r="OO14" s="12">
        <v>0</v>
      </c>
      <c r="OP14" s="12">
        <v>0</v>
      </c>
      <c r="OQ14" s="12">
        <v>4390344</v>
      </c>
      <c r="OR14" s="12">
        <v>14808</v>
      </c>
      <c r="OS14" s="12">
        <v>2117544</v>
      </c>
      <c r="OT14" s="12">
        <v>0</v>
      </c>
      <c r="OU14" s="12">
        <v>0</v>
      </c>
      <c r="OV14" s="12">
        <v>0</v>
      </c>
      <c r="OW14" s="12">
        <v>0</v>
      </c>
      <c r="OX14" s="12">
        <v>244560</v>
      </c>
      <c r="OY14" s="12">
        <v>15546744</v>
      </c>
      <c r="OZ14" s="12">
        <v>76193</v>
      </c>
      <c r="PA14" s="11" t="s">
        <v>308</v>
      </c>
      <c r="PB14" s="12">
        <v>153600</v>
      </c>
      <c r="PC14" s="12">
        <v>0</v>
      </c>
      <c r="PD14" s="12">
        <v>0</v>
      </c>
      <c r="PE14" s="12">
        <v>0</v>
      </c>
      <c r="PF14" s="12">
        <v>0</v>
      </c>
      <c r="PG14" s="12">
        <v>0</v>
      </c>
      <c r="PH14" s="12">
        <v>0</v>
      </c>
      <c r="PI14" s="12">
        <v>0</v>
      </c>
      <c r="PJ14" s="12">
        <v>0</v>
      </c>
      <c r="PK14" s="12">
        <v>56880</v>
      </c>
      <c r="PL14" s="12">
        <v>0</v>
      </c>
      <c r="PM14" s="12">
        <v>34320</v>
      </c>
      <c r="PN14" s="12">
        <v>0</v>
      </c>
      <c r="PO14" s="12">
        <v>0</v>
      </c>
      <c r="PP14" s="12">
        <v>0</v>
      </c>
      <c r="PQ14" s="12">
        <v>0</v>
      </c>
      <c r="PR14" s="12">
        <v>9722880</v>
      </c>
      <c r="PS14" s="12">
        <v>0</v>
      </c>
      <c r="PT14" s="12">
        <v>0</v>
      </c>
      <c r="PU14" s="12">
        <v>0</v>
      </c>
      <c r="PV14" s="12">
        <v>0</v>
      </c>
      <c r="PW14" s="12">
        <v>0</v>
      </c>
      <c r="PX14" s="12">
        <v>0</v>
      </c>
      <c r="PY14" s="12">
        <v>0</v>
      </c>
      <c r="PZ14" s="12">
        <v>0</v>
      </c>
      <c r="QA14" s="12">
        <v>3702887</v>
      </c>
      <c r="QB14" s="12">
        <v>0</v>
      </c>
      <c r="QC14" s="12">
        <v>2117544</v>
      </c>
      <c r="QD14" s="12">
        <v>0</v>
      </c>
      <c r="QE14" s="12">
        <v>0</v>
      </c>
      <c r="QF14" s="12">
        <v>0</v>
      </c>
      <c r="QG14" s="12">
        <v>0</v>
      </c>
      <c r="QH14" s="12">
        <v>244800</v>
      </c>
      <c r="QI14" s="12">
        <v>15543312</v>
      </c>
      <c r="QJ14" s="12">
        <v>76189</v>
      </c>
      <c r="QK14" s="11" t="s">
        <v>308</v>
      </c>
      <c r="QL14" s="12">
        <v>119280</v>
      </c>
      <c r="QM14" s="12">
        <v>0</v>
      </c>
      <c r="QN14" s="12">
        <v>0</v>
      </c>
      <c r="QO14" s="12">
        <v>0</v>
      </c>
      <c r="QP14" s="12">
        <v>0</v>
      </c>
      <c r="QQ14" s="12">
        <v>0</v>
      </c>
      <c r="QR14" s="12">
        <v>90240</v>
      </c>
      <c r="QS14" s="12">
        <v>0</v>
      </c>
      <c r="QT14" s="12">
        <v>34320</v>
      </c>
      <c r="QU14" s="12">
        <v>0</v>
      </c>
      <c r="QV14" s="12">
        <v>0</v>
      </c>
      <c r="QW14" s="12">
        <v>0</v>
      </c>
      <c r="QX14" s="12">
        <v>0</v>
      </c>
      <c r="QY14" s="12">
        <v>7550424</v>
      </c>
      <c r="QZ14" s="12">
        <v>0</v>
      </c>
      <c r="RA14" s="12">
        <v>0</v>
      </c>
      <c r="RB14" s="12">
        <v>0</v>
      </c>
      <c r="RC14" s="12">
        <v>0</v>
      </c>
      <c r="RD14" s="12">
        <v>0</v>
      </c>
      <c r="RE14" s="12">
        <v>5874624</v>
      </c>
      <c r="RF14" s="12">
        <v>0</v>
      </c>
      <c r="RG14" s="12">
        <v>2117544</v>
      </c>
      <c r="RH14" s="12">
        <v>0</v>
      </c>
      <c r="RI14" s="12">
        <v>0</v>
      </c>
      <c r="RJ14" s="12">
        <v>0</v>
      </c>
      <c r="RK14" s="12">
        <v>0</v>
      </c>
      <c r="RL14" s="12">
        <v>243840</v>
      </c>
      <c r="RM14" s="12">
        <v>15542592</v>
      </c>
    </row>
    <row x14ac:dyDescent="0.25" r="15" customHeight="1" ht="18" customFormat="1" s="8">
      <c r="A15" s="9" t="s">
        <v>845</v>
      </c>
      <c r="B15" s="12">
        <v>0</v>
      </c>
      <c r="C15" s="16" t="s">
        <v>112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1" t="s">
        <v>112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1" t="s">
        <v>112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9967</v>
      </c>
      <c r="CQ15" s="11" t="s">
        <v>846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14880</v>
      </c>
      <c r="DM15" s="12">
        <v>100320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262632</v>
      </c>
      <c r="EL15" s="12">
        <v>1770648</v>
      </c>
      <c r="EM15" s="12">
        <v>0</v>
      </c>
      <c r="EN15" s="12">
        <v>0</v>
      </c>
      <c r="EO15" s="12">
        <v>0</v>
      </c>
      <c r="EP15" s="12">
        <v>115200</v>
      </c>
      <c r="EQ15" s="12">
        <v>2033280</v>
      </c>
      <c r="ER15" s="12">
        <v>9489</v>
      </c>
      <c r="ES15" s="11" t="s">
        <v>847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14880</v>
      </c>
      <c r="FO15" s="12">
        <v>94800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262632</v>
      </c>
      <c r="GP15" s="12">
        <v>1673219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109680</v>
      </c>
      <c r="GW15" s="12">
        <v>1935851</v>
      </c>
      <c r="GX15" s="12">
        <v>9489</v>
      </c>
      <c r="GY15" s="11" t="s">
        <v>847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14880</v>
      </c>
      <c r="HV15" s="12">
        <v>94800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262632</v>
      </c>
      <c r="IZ15" s="12">
        <v>1673219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109680</v>
      </c>
      <c r="JI15" s="12">
        <v>1935851</v>
      </c>
      <c r="JJ15" s="12">
        <v>9489</v>
      </c>
      <c r="JK15" s="11" t="s">
        <v>847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14880</v>
      </c>
      <c r="KC15" s="12">
        <v>94800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0</v>
      </c>
      <c r="KS15" s="12">
        <v>0</v>
      </c>
      <c r="KT15" s="12">
        <v>0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262632</v>
      </c>
      <c r="LA15" s="12">
        <v>1673219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109680</v>
      </c>
      <c r="LI15" s="12">
        <v>1935851</v>
      </c>
      <c r="LJ15" s="12">
        <v>9489</v>
      </c>
      <c r="LK15" s="11" t="s">
        <v>847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  <c r="LX15" s="12">
        <v>0</v>
      </c>
      <c r="LY15" s="12">
        <v>14880</v>
      </c>
      <c r="LZ15" s="12">
        <v>94800</v>
      </c>
      <c r="MA15" s="12">
        <v>0</v>
      </c>
      <c r="MB15" s="12">
        <v>0</v>
      </c>
      <c r="MC15" s="12">
        <v>0</v>
      </c>
      <c r="MD15" s="12">
        <v>0</v>
      </c>
      <c r="ME15" s="12">
        <v>0</v>
      </c>
      <c r="MF15" s="12">
        <v>0</v>
      </c>
      <c r="MG15" s="12">
        <v>0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0</v>
      </c>
      <c r="MO15" s="12">
        <v>0</v>
      </c>
      <c r="MP15" s="12">
        <v>0</v>
      </c>
      <c r="MQ15" s="12">
        <v>0</v>
      </c>
      <c r="MR15" s="12">
        <v>0</v>
      </c>
      <c r="MS15" s="12">
        <v>0</v>
      </c>
      <c r="MT15" s="12">
        <v>0</v>
      </c>
      <c r="MU15" s="12">
        <v>262632</v>
      </c>
      <c r="MV15" s="12">
        <v>1673219</v>
      </c>
      <c r="MW15" s="12">
        <v>0</v>
      </c>
      <c r="MX15" s="12">
        <v>0</v>
      </c>
      <c r="MY15" s="12">
        <v>0</v>
      </c>
      <c r="MZ15" s="12">
        <v>0</v>
      </c>
      <c r="NA15" s="12">
        <v>0</v>
      </c>
      <c r="NB15" s="12">
        <v>0</v>
      </c>
      <c r="NC15" s="12">
        <v>0</v>
      </c>
      <c r="ND15" s="12">
        <v>109680</v>
      </c>
      <c r="NE15" s="12">
        <v>1935851</v>
      </c>
      <c r="NF15" s="12">
        <v>7102</v>
      </c>
      <c r="NG15" s="11" t="s">
        <v>848</v>
      </c>
      <c r="NH15" s="12">
        <v>0</v>
      </c>
      <c r="NI15" s="12">
        <v>0</v>
      </c>
      <c r="NJ15" s="12">
        <v>0</v>
      </c>
      <c r="NK15" s="12">
        <v>0</v>
      </c>
      <c r="NL15" s="12">
        <v>0</v>
      </c>
      <c r="NM15" s="12">
        <v>0</v>
      </c>
      <c r="NN15" s="12">
        <v>0</v>
      </c>
      <c r="NO15" s="12">
        <v>0</v>
      </c>
      <c r="NP15" s="12">
        <v>0</v>
      </c>
      <c r="NQ15" s="12">
        <v>0</v>
      </c>
      <c r="NR15" s="12">
        <v>0</v>
      </c>
      <c r="NS15" s="12">
        <v>0</v>
      </c>
      <c r="NT15" s="12">
        <v>11040</v>
      </c>
      <c r="NU15" s="12">
        <v>71040</v>
      </c>
      <c r="NV15" s="12">
        <v>0</v>
      </c>
      <c r="NW15" s="12">
        <v>0</v>
      </c>
      <c r="NX15" s="12">
        <v>0</v>
      </c>
      <c r="NY15" s="12">
        <v>0</v>
      </c>
      <c r="NZ15" s="12">
        <v>0</v>
      </c>
      <c r="OA15" s="12">
        <v>0</v>
      </c>
      <c r="OB15" s="12">
        <v>0</v>
      </c>
      <c r="OC15" s="12">
        <v>0</v>
      </c>
      <c r="OD15" s="12">
        <v>0</v>
      </c>
      <c r="OE15" s="12">
        <v>0</v>
      </c>
      <c r="OF15" s="12">
        <v>0</v>
      </c>
      <c r="OG15" s="12">
        <v>0</v>
      </c>
      <c r="OH15" s="12">
        <v>0</v>
      </c>
      <c r="OI15" s="12">
        <v>0</v>
      </c>
      <c r="OJ15" s="12">
        <v>0</v>
      </c>
      <c r="OK15" s="12">
        <v>0</v>
      </c>
      <c r="OL15" s="12">
        <v>0</v>
      </c>
      <c r="OM15" s="12">
        <v>0</v>
      </c>
      <c r="ON15" s="12">
        <v>0</v>
      </c>
      <c r="OO15" s="12">
        <v>194856</v>
      </c>
      <c r="OP15" s="12">
        <v>1253856</v>
      </c>
      <c r="OQ15" s="12">
        <v>0</v>
      </c>
      <c r="OR15" s="12">
        <v>0</v>
      </c>
      <c r="OS15" s="12">
        <v>0</v>
      </c>
      <c r="OT15" s="12">
        <v>0</v>
      </c>
      <c r="OU15" s="12">
        <v>0</v>
      </c>
      <c r="OV15" s="12">
        <v>0</v>
      </c>
      <c r="OW15" s="12">
        <v>0</v>
      </c>
      <c r="OX15" s="12">
        <v>82080</v>
      </c>
      <c r="OY15" s="12">
        <v>1448712</v>
      </c>
      <c r="OZ15" s="12">
        <v>0</v>
      </c>
      <c r="PA15" s="11" t="s">
        <v>112</v>
      </c>
      <c r="PB15" s="12">
        <v>0</v>
      </c>
      <c r="PC15" s="12">
        <v>0</v>
      </c>
      <c r="PD15" s="12">
        <v>0</v>
      </c>
      <c r="PE15" s="12">
        <v>0</v>
      </c>
      <c r="PF15" s="12">
        <v>0</v>
      </c>
      <c r="PG15" s="12">
        <v>0</v>
      </c>
      <c r="PH15" s="12">
        <v>0</v>
      </c>
      <c r="PI15" s="12">
        <v>0</v>
      </c>
      <c r="PJ15" s="12">
        <v>0</v>
      </c>
      <c r="PK15" s="12">
        <v>0</v>
      </c>
      <c r="PL15" s="12">
        <v>0</v>
      </c>
      <c r="PM15" s="12">
        <v>0</v>
      </c>
      <c r="PN15" s="12">
        <v>0</v>
      </c>
      <c r="PO15" s="12">
        <v>0</v>
      </c>
      <c r="PP15" s="12">
        <v>0</v>
      </c>
      <c r="PQ15" s="12">
        <v>0</v>
      </c>
      <c r="PR15" s="12">
        <v>0</v>
      </c>
      <c r="PS15" s="12">
        <v>0</v>
      </c>
      <c r="PT15" s="12">
        <v>0</v>
      </c>
      <c r="PU15" s="12">
        <v>0</v>
      </c>
      <c r="PV15" s="12">
        <v>0</v>
      </c>
      <c r="PW15" s="12">
        <v>0</v>
      </c>
      <c r="PX15" s="12">
        <v>0</v>
      </c>
      <c r="PY15" s="12">
        <v>0</v>
      </c>
      <c r="PZ15" s="12">
        <v>0</v>
      </c>
      <c r="QA15" s="12">
        <v>0</v>
      </c>
      <c r="QB15" s="12">
        <v>0</v>
      </c>
      <c r="QC15" s="12">
        <v>0</v>
      </c>
      <c r="QD15" s="12">
        <v>0</v>
      </c>
      <c r="QE15" s="12">
        <v>0</v>
      </c>
      <c r="QF15" s="12">
        <v>0</v>
      </c>
      <c r="QG15" s="12">
        <v>0</v>
      </c>
      <c r="QH15" s="12">
        <v>0</v>
      </c>
      <c r="QI15" s="12">
        <v>0</v>
      </c>
      <c r="QJ15" s="12">
        <v>0</v>
      </c>
      <c r="QK15" s="11" t="s">
        <v>112</v>
      </c>
      <c r="QL15" s="12">
        <v>0</v>
      </c>
      <c r="QM15" s="12">
        <v>0</v>
      </c>
      <c r="QN15" s="12">
        <v>0</v>
      </c>
      <c r="QO15" s="12">
        <v>0</v>
      </c>
      <c r="QP15" s="12">
        <v>0</v>
      </c>
      <c r="QQ15" s="12">
        <v>0</v>
      </c>
      <c r="QR15" s="12">
        <v>0</v>
      </c>
      <c r="QS15" s="12">
        <v>0</v>
      </c>
      <c r="QT15" s="12">
        <v>0</v>
      </c>
      <c r="QU15" s="12">
        <v>0</v>
      </c>
      <c r="QV15" s="12">
        <v>0</v>
      </c>
      <c r="QW15" s="12">
        <v>0</v>
      </c>
      <c r="QX15" s="12">
        <v>0</v>
      </c>
      <c r="QY15" s="12">
        <v>0</v>
      </c>
      <c r="QZ15" s="12">
        <v>0</v>
      </c>
      <c r="RA15" s="12">
        <v>0</v>
      </c>
      <c r="RB15" s="12">
        <v>0</v>
      </c>
      <c r="RC15" s="12">
        <v>0</v>
      </c>
      <c r="RD15" s="12">
        <v>0</v>
      </c>
      <c r="RE15" s="12">
        <v>0</v>
      </c>
      <c r="RF15" s="12">
        <v>0</v>
      </c>
      <c r="RG15" s="12">
        <v>0</v>
      </c>
      <c r="RH15" s="12">
        <v>0</v>
      </c>
      <c r="RI15" s="12">
        <v>0</v>
      </c>
      <c r="RJ15" s="12">
        <v>0</v>
      </c>
      <c r="RK15" s="12">
        <v>0</v>
      </c>
      <c r="RL15" s="12">
        <v>0</v>
      </c>
      <c r="RM15" s="12">
        <v>0</v>
      </c>
    </row>
    <row x14ac:dyDescent="0.25" r="16" customHeight="1" ht="18" customFormat="1" s="8">
      <c r="A16" s="9" t="s">
        <v>849</v>
      </c>
      <c r="B16" s="12">
        <v>0</v>
      </c>
      <c r="C16" s="16" t="s">
        <v>112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1" t="s">
        <v>112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1" t="s">
        <v>112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1" t="s">
        <v>112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1" t="s">
        <v>112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1" t="s">
        <v>112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1" t="s">
        <v>112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1" t="s">
        <v>112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1" t="s">
        <v>112</v>
      </c>
      <c r="NH16" s="12">
        <v>0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0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0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0</v>
      </c>
      <c r="OJ16" s="12">
        <v>0</v>
      </c>
      <c r="OK16" s="12">
        <v>0</v>
      </c>
      <c r="OL16" s="12">
        <v>0</v>
      </c>
      <c r="OM16" s="12">
        <v>0</v>
      </c>
      <c r="ON16" s="12">
        <v>0</v>
      </c>
      <c r="OO16" s="12">
        <v>0</v>
      </c>
      <c r="OP16" s="12">
        <v>0</v>
      </c>
      <c r="OQ16" s="12">
        <v>0</v>
      </c>
      <c r="OR16" s="12">
        <v>0</v>
      </c>
      <c r="OS16" s="12">
        <v>0</v>
      </c>
      <c r="OT16" s="12">
        <v>0</v>
      </c>
      <c r="OU16" s="12">
        <v>0</v>
      </c>
      <c r="OV16" s="12">
        <v>0</v>
      </c>
      <c r="OW16" s="12">
        <v>0</v>
      </c>
      <c r="OX16" s="12">
        <v>0</v>
      </c>
      <c r="OY16" s="12">
        <v>0</v>
      </c>
      <c r="OZ16" s="12">
        <v>0</v>
      </c>
      <c r="PA16" s="11" t="s">
        <v>112</v>
      </c>
      <c r="PB16" s="12">
        <v>0</v>
      </c>
      <c r="PC16" s="12">
        <v>0</v>
      </c>
      <c r="PD16" s="12">
        <v>0</v>
      </c>
      <c r="PE16" s="12">
        <v>0</v>
      </c>
      <c r="PF16" s="12">
        <v>0</v>
      </c>
      <c r="PG16" s="12">
        <v>0</v>
      </c>
      <c r="PH16" s="12">
        <v>0</v>
      </c>
      <c r="PI16" s="12">
        <v>0</v>
      </c>
      <c r="PJ16" s="12">
        <v>0</v>
      </c>
      <c r="PK16" s="12">
        <v>0</v>
      </c>
      <c r="PL16" s="12">
        <v>0</v>
      </c>
      <c r="PM16" s="12">
        <v>0</v>
      </c>
      <c r="PN16" s="12">
        <v>0</v>
      </c>
      <c r="PO16" s="12">
        <v>0</v>
      </c>
      <c r="PP16" s="12">
        <v>0</v>
      </c>
      <c r="PQ16" s="12">
        <v>0</v>
      </c>
      <c r="PR16" s="12">
        <v>0</v>
      </c>
      <c r="PS16" s="12">
        <v>0</v>
      </c>
      <c r="PT16" s="12">
        <v>0</v>
      </c>
      <c r="PU16" s="12">
        <v>0</v>
      </c>
      <c r="PV16" s="12">
        <v>0</v>
      </c>
      <c r="PW16" s="12">
        <v>0</v>
      </c>
      <c r="PX16" s="12">
        <v>0</v>
      </c>
      <c r="PY16" s="12">
        <v>0</v>
      </c>
      <c r="PZ16" s="12">
        <v>0</v>
      </c>
      <c r="QA16" s="12">
        <v>0</v>
      </c>
      <c r="QB16" s="12">
        <v>0</v>
      </c>
      <c r="QC16" s="12">
        <v>0</v>
      </c>
      <c r="QD16" s="12">
        <v>0</v>
      </c>
      <c r="QE16" s="12">
        <v>0</v>
      </c>
      <c r="QF16" s="12">
        <v>0</v>
      </c>
      <c r="QG16" s="12">
        <v>0</v>
      </c>
      <c r="QH16" s="12">
        <v>0</v>
      </c>
      <c r="QI16" s="12">
        <v>0</v>
      </c>
      <c r="QJ16" s="12">
        <v>0</v>
      </c>
      <c r="QK16" s="11" t="s">
        <v>112</v>
      </c>
      <c r="QL16" s="12">
        <v>0</v>
      </c>
      <c r="QM16" s="12">
        <v>0</v>
      </c>
      <c r="QN16" s="12">
        <v>0</v>
      </c>
      <c r="QO16" s="12">
        <v>0</v>
      </c>
      <c r="QP16" s="12">
        <v>0</v>
      </c>
      <c r="QQ16" s="12">
        <v>0</v>
      </c>
      <c r="QR16" s="12">
        <v>0</v>
      </c>
      <c r="QS16" s="12">
        <v>0</v>
      </c>
      <c r="QT16" s="12">
        <v>0</v>
      </c>
      <c r="QU16" s="12">
        <v>0</v>
      </c>
      <c r="QV16" s="12">
        <v>0</v>
      </c>
      <c r="QW16" s="12">
        <v>0</v>
      </c>
      <c r="QX16" s="12">
        <v>0</v>
      </c>
      <c r="QY16" s="12">
        <v>0</v>
      </c>
      <c r="QZ16" s="12">
        <v>0</v>
      </c>
      <c r="RA16" s="12">
        <v>0</v>
      </c>
      <c r="RB16" s="12">
        <v>0</v>
      </c>
      <c r="RC16" s="12">
        <v>0</v>
      </c>
      <c r="RD16" s="12">
        <v>0</v>
      </c>
      <c r="RE16" s="12">
        <v>0</v>
      </c>
      <c r="RF16" s="12">
        <v>0</v>
      </c>
      <c r="RG16" s="12">
        <v>0</v>
      </c>
      <c r="RH16" s="12">
        <v>0</v>
      </c>
      <c r="RI16" s="12">
        <v>0</v>
      </c>
      <c r="RJ16" s="12">
        <v>0</v>
      </c>
      <c r="RK16" s="12">
        <v>0</v>
      </c>
      <c r="RL16" s="12">
        <v>0</v>
      </c>
      <c r="RM16" s="12">
        <v>0</v>
      </c>
    </row>
    <row x14ac:dyDescent="0.25" r="17" customHeight="1" ht="18" customFormat="1" s="8">
      <c r="A17" s="9" t="s">
        <v>850</v>
      </c>
      <c r="B17" s="12">
        <v>0</v>
      </c>
      <c r="C17" s="16" t="s">
        <v>112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1" t="s">
        <v>112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1" t="s">
        <v>112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8181</v>
      </c>
      <c r="CQ17" s="11" t="s">
        <v>851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58560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1668960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58560</v>
      </c>
      <c r="EQ17" s="12">
        <v>1668960</v>
      </c>
      <c r="ER17" s="12">
        <v>8181</v>
      </c>
      <c r="ES17" s="11" t="s">
        <v>851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58560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1668960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58560</v>
      </c>
      <c r="GW17" s="12">
        <v>1668960</v>
      </c>
      <c r="GX17" s="12">
        <v>4091</v>
      </c>
      <c r="GY17" s="11" t="s">
        <v>852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29280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834480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29280</v>
      </c>
      <c r="JI17" s="12">
        <v>834480</v>
      </c>
      <c r="JJ17" s="12">
        <v>0</v>
      </c>
      <c r="JK17" s="11" t="s">
        <v>112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1" t="s">
        <v>112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s="12">
        <v>0</v>
      </c>
      <c r="MV17" s="12">
        <v>0</v>
      </c>
      <c r="MW17" s="12">
        <v>0</v>
      </c>
      <c r="MX17" s="12">
        <v>0</v>
      </c>
      <c r="MY17" s="12">
        <v>0</v>
      </c>
      <c r="MZ17" s="12">
        <v>0</v>
      </c>
      <c r="NA17" s="12">
        <v>0</v>
      </c>
      <c r="NB17" s="12">
        <v>0</v>
      </c>
      <c r="NC17" s="12">
        <v>0</v>
      </c>
      <c r="ND17" s="12">
        <v>0</v>
      </c>
      <c r="NE17" s="12">
        <v>0</v>
      </c>
      <c r="NF17" s="12">
        <v>0</v>
      </c>
      <c r="NG17" s="11" t="s">
        <v>112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0</v>
      </c>
      <c r="NN17" s="12">
        <v>0</v>
      </c>
      <c r="NO17" s="12">
        <v>0</v>
      </c>
      <c r="NP17" s="12">
        <v>0</v>
      </c>
      <c r="NQ17" s="12">
        <v>0</v>
      </c>
      <c r="NR17" s="12">
        <v>0</v>
      </c>
      <c r="NS17" s="12">
        <v>0</v>
      </c>
      <c r="NT17" s="12">
        <v>0</v>
      </c>
      <c r="NU17" s="12">
        <v>0</v>
      </c>
      <c r="NV17" s="12">
        <v>0</v>
      </c>
      <c r="NW17" s="12">
        <v>0</v>
      </c>
      <c r="NX17" s="12">
        <v>0</v>
      </c>
      <c r="NY17" s="12">
        <v>0</v>
      </c>
      <c r="NZ17" s="12">
        <v>0</v>
      </c>
      <c r="OA17" s="12">
        <v>0</v>
      </c>
      <c r="OB17" s="12">
        <v>0</v>
      </c>
      <c r="OC17" s="12">
        <v>0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0</v>
      </c>
      <c r="OJ17" s="12">
        <v>0</v>
      </c>
      <c r="OK17" s="12">
        <v>0</v>
      </c>
      <c r="OL17" s="12">
        <v>0</v>
      </c>
      <c r="OM17" s="12">
        <v>0</v>
      </c>
      <c r="ON17" s="12">
        <v>0</v>
      </c>
      <c r="OO17" s="12">
        <v>0</v>
      </c>
      <c r="OP17" s="12">
        <v>0</v>
      </c>
      <c r="OQ17" s="12">
        <v>0</v>
      </c>
      <c r="OR17" s="12">
        <v>0</v>
      </c>
      <c r="OS17" s="12">
        <v>0</v>
      </c>
      <c r="OT17" s="12">
        <v>0</v>
      </c>
      <c r="OU17" s="12">
        <v>0</v>
      </c>
      <c r="OV17" s="12">
        <v>0</v>
      </c>
      <c r="OW17" s="12">
        <v>0</v>
      </c>
      <c r="OX17" s="12">
        <v>0</v>
      </c>
      <c r="OY17" s="12">
        <v>0</v>
      </c>
      <c r="OZ17" s="12">
        <v>0</v>
      </c>
      <c r="PA17" s="11" t="s">
        <v>112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0</v>
      </c>
      <c r="PH17" s="12">
        <v>0</v>
      </c>
      <c r="PI17" s="12">
        <v>0</v>
      </c>
      <c r="PJ17" s="12">
        <v>0</v>
      </c>
      <c r="PK17" s="12">
        <v>0</v>
      </c>
      <c r="PL17" s="12">
        <v>0</v>
      </c>
      <c r="PM17" s="12">
        <v>0</v>
      </c>
      <c r="PN17" s="12">
        <v>0</v>
      </c>
      <c r="PO17" s="12">
        <v>0</v>
      </c>
      <c r="PP17" s="12">
        <v>0</v>
      </c>
      <c r="PQ17" s="12">
        <v>0</v>
      </c>
      <c r="PR17" s="12">
        <v>0</v>
      </c>
      <c r="PS17" s="12">
        <v>0</v>
      </c>
      <c r="PT17" s="12">
        <v>0</v>
      </c>
      <c r="PU17" s="12">
        <v>0</v>
      </c>
      <c r="PV17" s="12">
        <v>0</v>
      </c>
      <c r="PW17" s="12">
        <v>0</v>
      </c>
      <c r="PX17" s="12">
        <v>0</v>
      </c>
      <c r="PY17" s="12">
        <v>0</v>
      </c>
      <c r="PZ17" s="12">
        <v>0</v>
      </c>
      <c r="QA17" s="12">
        <v>0</v>
      </c>
      <c r="QB17" s="12">
        <v>0</v>
      </c>
      <c r="QC17" s="12">
        <v>0</v>
      </c>
      <c r="QD17" s="12">
        <v>0</v>
      </c>
      <c r="QE17" s="12">
        <v>0</v>
      </c>
      <c r="QF17" s="12">
        <v>0</v>
      </c>
      <c r="QG17" s="12">
        <v>0</v>
      </c>
      <c r="QH17" s="12">
        <v>0</v>
      </c>
      <c r="QI17" s="12">
        <v>0</v>
      </c>
      <c r="QJ17" s="12">
        <v>0</v>
      </c>
      <c r="QK17" s="11" t="s">
        <v>112</v>
      </c>
      <c r="QL17" s="12">
        <v>0</v>
      </c>
      <c r="QM17" s="12">
        <v>0</v>
      </c>
      <c r="QN17" s="12">
        <v>0</v>
      </c>
      <c r="QO17" s="12">
        <v>0</v>
      </c>
      <c r="QP17" s="12">
        <v>0</v>
      </c>
      <c r="QQ17" s="12">
        <v>0</v>
      </c>
      <c r="QR17" s="12">
        <v>0</v>
      </c>
      <c r="QS17" s="12">
        <v>0</v>
      </c>
      <c r="QT17" s="12">
        <v>0</v>
      </c>
      <c r="QU17" s="12">
        <v>0</v>
      </c>
      <c r="QV17" s="12">
        <v>0</v>
      </c>
      <c r="QW17" s="12">
        <v>0</v>
      </c>
      <c r="QX17" s="12">
        <v>0</v>
      </c>
      <c r="QY17" s="12">
        <v>0</v>
      </c>
      <c r="QZ17" s="12">
        <v>0</v>
      </c>
      <c r="RA17" s="12">
        <v>0</v>
      </c>
      <c r="RB17" s="12">
        <v>0</v>
      </c>
      <c r="RC17" s="12">
        <v>0</v>
      </c>
      <c r="RD17" s="12">
        <v>0</v>
      </c>
      <c r="RE17" s="12">
        <v>0</v>
      </c>
      <c r="RF17" s="12">
        <v>0</v>
      </c>
      <c r="RG17" s="12">
        <v>0</v>
      </c>
      <c r="RH17" s="12">
        <v>0</v>
      </c>
      <c r="RI17" s="12">
        <v>0</v>
      </c>
      <c r="RJ17" s="12">
        <v>0</v>
      </c>
      <c r="RK17" s="12">
        <v>0</v>
      </c>
      <c r="RL17" s="12">
        <v>0</v>
      </c>
      <c r="RM17" s="12">
        <v>0</v>
      </c>
    </row>
    <row x14ac:dyDescent="0.25" r="18" customHeight="1" ht="18">
      <c r="A18" s="1"/>
      <c r="B18" s="13"/>
      <c r="C18" s="1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9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9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9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9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9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9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13"/>
      <c r="LF18" s="13"/>
      <c r="LG18" s="13"/>
      <c r="LH18" s="13"/>
      <c r="LI18" s="13"/>
      <c r="LJ18" s="13"/>
      <c r="LK18" s="9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9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9"/>
      <c r="PB18" s="13"/>
      <c r="PC18" s="13"/>
      <c r="PD18" s="13"/>
      <c r="PE18" s="13"/>
      <c r="PF18" s="13"/>
      <c r="PG18" s="13"/>
      <c r="PH18" s="13"/>
      <c r="PI18" s="13"/>
      <c r="PJ18" s="13"/>
      <c r="PK18" s="13"/>
      <c r="PL18" s="13"/>
      <c r="PM18" s="13"/>
      <c r="PN18" s="13"/>
      <c r="PO18" s="13"/>
      <c r="PP18" s="13"/>
      <c r="PQ18" s="13"/>
      <c r="PR18" s="13"/>
      <c r="PS18" s="13"/>
      <c r="PT18" s="13"/>
      <c r="PU18" s="13"/>
      <c r="PV18" s="13"/>
      <c r="PW18" s="13"/>
      <c r="PX18" s="13"/>
      <c r="PY18" s="13"/>
      <c r="PZ18" s="13"/>
      <c r="QA18" s="13"/>
      <c r="QB18" s="13"/>
      <c r="QC18" s="13"/>
      <c r="QD18" s="13"/>
      <c r="QE18" s="13"/>
      <c r="QF18" s="13"/>
      <c r="QG18" s="13"/>
      <c r="QH18" s="13"/>
      <c r="QI18" s="13"/>
      <c r="QJ18" s="13"/>
      <c r="QK18" s="9"/>
      <c r="QL18" s="13"/>
      <c r="QM18" s="13"/>
      <c r="QN18" s="13"/>
      <c r="QO18" s="13"/>
      <c r="QP18" s="13"/>
      <c r="QQ18" s="13"/>
      <c r="QR18" s="13"/>
      <c r="QS18" s="13"/>
      <c r="QT18" s="13"/>
      <c r="QU18" s="13"/>
      <c r="QV18" s="13"/>
      <c r="QW18" s="13"/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</row>
    <row x14ac:dyDescent="0.25" r="19" customHeight="1" ht="18">
      <c r="A19" s="1"/>
      <c r="B19" s="13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9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9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9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9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9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9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13"/>
      <c r="LF19" s="13"/>
      <c r="LG19" s="13"/>
      <c r="LH19" s="13"/>
      <c r="LI19" s="13"/>
      <c r="LJ19" s="13"/>
      <c r="LK19" s="9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9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9"/>
      <c r="PB19" s="13"/>
      <c r="PC19" s="13"/>
      <c r="PD19" s="13"/>
      <c r="PE19" s="13"/>
      <c r="PF19" s="13"/>
      <c r="PG19" s="13"/>
      <c r="PH19" s="13"/>
      <c r="PI19" s="13"/>
      <c r="PJ19" s="13"/>
      <c r="PK19" s="13"/>
      <c r="PL19" s="13"/>
      <c r="PM19" s="13"/>
      <c r="PN19" s="13"/>
      <c r="PO19" s="13"/>
      <c r="PP19" s="13"/>
      <c r="PQ19" s="13"/>
      <c r="PR19" s="13"/>
      <c r="PS19" s="13"/>
      <c r="PT19" s="13"/>
      <c r="PU19" s="13"/>
      <c r="PV19" s="13"/>
      <c r="PW19" s="13"/>
      <c r="PX19" s="13"/>
      <c r="PY19" s="13"/>
      <c r="PZ19" s="13"/>
      <c r="QA19" s="13"/>
      <c r="QB19" s="13"/>
      <c r="QC19" s="13"/>
      <c r="QD19" s="13"/>
      <c r="QE19" s="13"/>
      <c r="QF19" s="13"/>
      <c r="QG19" s="13"/>
      <c r="QH19" s="13"/>
      <c r="QI19" s="13"/>
      <c r="QJ19" s="13"/>
      <c r="QK19" s="9"/>
      <c r="QL19" s="13"/>
      <c r="QM19" s="13"/>
      <c r="QN19" s="13"/>
      <c r="QO19" s="13"/>
      <c r="QP19" s="13"/>
      <c r="QQ19" s="13"/>
      <c r="QR19" s="13"/>
      <c r="QS19" s="13"/>
      <c r="QT19" s="13"/>
      <c r="QU19" s="13"/>
      <c r="QV19" s="13"/>
      <c r="QW19" s="13"/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</row>
    <row x14ac:dyDescent="0.25" r="20" customHeight="1" ht="18">
      <c r="A20" s="1" t="s">
        <v>130</v>
      </c>
      <c r="B20" s="13"/>
      <c r="C20" s="17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9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9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9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9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9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9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/>
      <c r="LF20" s="13"/>
      <c r="LG20" s="13"/>
      <c r="LH20" s="13"/>
      <c r="LI20" s="13"/>
      <c r="LJ20" s="13"/>
      <c r="LK20" s="9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9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9"/>
      <c r="PB20" s="13"/>
      <c r="PC20" s="13"/>
      <c r="PD20" s="13"/>
      <c r="PE20" s="13"/>
      <c r="PF20" s="13"/>
      <c r="PG20" s="13"/>
      <c r="PH20" s="13"/>
      <c r="PI20" s="13"/>
      <c r="PJ20" s="13"/>
      <c r="PK20" s="13"/>
      <c r="PL20" s="13"/>
      <c r="PM20" s="13"/>
      <c r="PN20" s="13"/>
      <c r="PO20" s="13"/>
      <c r="PP20" s="13"/>
      <c r="PQ20" s="13"/>
      <c r="PR20" s="13"/>
      <c r="PS20" s="13"/>
      <c r="PT20" s="13"/>
      <c r="PU20" s="13"/>
      <c r="PV20" s="13"/>
      <c r="PW20" s="13"/>
      <c r="PX20" s="13"/>
      <c r="PY20" s="13"/>
      <c r="PZ20" s="13"/>
      <c r="QA20" s="13"/>
      <c r="QB20" s="13"/>
      <c r="QC20" s="13"/>
      <c r="QD20" s="13"/>
      <c r="QE20" s="13"/>
      <c r="QF20" s="13"/>
      <c r="QG20" s="13"/>
      <c r="QH20" s="13"/>
      <c r="QI20" s="13"/>
      <c r="QJ20" s="13"/>
      <c r="QK20" s="9"/>
      <c r="QL20" s="13"/>
      <c r="QM20" s="13"/>
      <c r="QN20" s="13"/>
      <c r="QO20" s="13"/>
      <c r="QP20" s="13"/>
      <c r="QQ20" s="13"/>
      <c r="QR20" s="13"/>
      <c r="QS20" s="13"/>
      <c r="QT20" s="13"/>
      <c r="QU20" s="13"/>
      <c r="QV20" s="13"/>
      <c r="QW20" s="13"/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</row>
    <row x14ac:dyDescent="0.25" r="21" customHeight="1" ht="18" customFormat="1" s="8">
      <c r="A21" s="9" t="s">
        <v>0</v>
      </c>
      <c r="B21" s="10" t="s">
        <v>5</v>
      </c>
      <c r="C21" s="16" t="s">
        <v>11</v>
      </c>
      <c r="D21" s="10" t="s">
        <v>17</v>
      </c>
      <c r="E21" s="10" t="s">
        <v>27</v>
      </c>
      <c r="F21" s="10" t="s">
        <v>37</v>
      </c>
      <c r="G21" s="10" t="s">
        <v>47</v>
      </c>
      <c r="H21" s="10" t="s">
        <v>57</v>
      </c>
      <c r="I21" s="10" t="s">
        <v>67</v>
      </c>
      <c r="J21" s="10" t="s">
        <v>77</v>
      </c>
      <c r="K21" s="10" t="s">
        <v>87</v>
      </c>
      <c r="L21" s="10" t="s">
        <v>97</v>
      </c>
      <c r="M21" s="10" t="s">
        <v>6</v>
      </c>
      <c r="N21" s="10" t="s">
        <v>12</v>
      </c>
      <c r="O21" s="10" t="s">
        <v>18</v>
      </c>
      <c r="P21" s="10" t="s">
        <v>28</v>
      </c>
      <c r="Q21" s="10" t="s">
        <v>38</v>
      </c>
      <c r="R21" s="10" t="s">
        <v>48</v>
      </c>
      <c r="S21" s="10" t="s">
        <v>58</v>
      </c>
      <c r="T21" s="10" t="s">
        <v>68</v>
      </c>
      <c r="U21" s="10" t="s">
        <v>78</v>
      </c>
      <c r="V21" s="10" t="s">
        <v>88</v>
      </c>
      <c r="W21" s="10" t="s">
        <v>98</v>
      </c>
      <c r="X21" s="10" t="s">
        <v>2</v>
      </c>
      <c r="Y21" s="10" t="s">
        <v>8</v>
      </c>
      <c r="Z21" s="10" t="s">
        <v>14</v>
      </c>
      <c r="AA21" s="10" t="s">
        <v>20</v>
      </c>
      <c r="AB21" s="10" t="s">
        <v>30</v>
      </c>
      <c r="AC21" s="11" t="s">
        <v>40</v>
      </c>
      <c r="AD21" s="10" t="s">
        <v>50</v>
      </c>
      <c r="AE21" s="10" t="s">
        <v>60</v>
      </c>
      <c r="AF21" s="10" t="s">
        <v>70</v>
      </c>
      <c r="AG21" s="10" t="s">
        <v>80</v>
      </c>
      <c r="AH21" s="10" t="s">
        <v>90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9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9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9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9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9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/>
      <c r="LF21" s="13"/>
      <c r="LG21" s="13"/>
      <c r="LH21" s="13"/>
      <c r="LI21" s="13"/>
      <c r="LJ21" s="13"/>
      <c r="LK21" s="9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9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9"/>
      <c r="PB21" s="13"/>
      <c r="PC21" s="13"/>
      <c r="PD21" s="13"/>
      <c r="PE21" s="13"/>
      <c r="PF21" s="13"/>
      <c r="PG21" s="13"/>
      <c r="PH21" s="13"/>
      <c r="PI21" s="13"/>
      <c r="PJ21" s="13"/>
      <c r="PK21" s="13"/>
      <c r="PL21" s="13"/>
      <c r="PM21" s="13"/>
      <c r="PN21" s="13"/>
      <c r="PO21" s="13"/>
      <c r="PP21" s="13"/>
      <c r="PQ21" s="13"/>
      <c r="PR21" s="13"/>
      <c r="PS21" s="13"/>
      <c r="PT21" s="13"/>
      <c r="PU21" s="13"/>
      <c r="PV21" s="13"/>
      <c r="PW21" s="13"/>
      <c r="PX21" s="13"/>
      <c r="PY21" s="13"/>
      <c r="PZ21" s="13"/>
      <c r="QA21" s="13"/>
      <c r="QB21" s="13"/>
      <c r="QC21" s="13"/>
      <c r="QD21" s="13"/>
      <c r="QE21" s="13"/>
      <c r="QF21" s="13"/>
      <c r="QG21" s="13"/>
      <c r="QH21" s="13"/>
      <c r="QI21" s="13"/>
      <c r="QJ21" s="13"/>
      <c r="QK21" s="9"/>
      <c r="QL21" s="13"/>
      <c r="QM21" s="13"/>
      <c r="QN21" s="13"/>
      <c r="QO21" s="13"/>
      <c r="QP21" s="13"/>
      <c r="QQ21" s="13"/>
      <c r="QR21" s="13"/>
      <c r="QS21" s="13"/>
      <c r="QT21" s="13"/>
      <c r="QU21" s="13"/>
      <c r="QV21" s="13"/>
      <c r="QW21" s="13"/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</row>
    <row x14ac:dyDescent="0.25" r="22" customHeight="1" ht="18" customFormat="1" s="8">
      <c r="A22" s="9" t="s">
        <v>769</v>
      </c>
      <c r="B22" s="12">
        <v>91200</v>
      </c>
      <c r="C22" s="12">
        <v>115200</v>
      </c>
      <c r="D22" s="12">
        <v>64800</v>
      </c>
      <c r="E22" s="12">
        <v>134880</v>
      </c>
      <c r="F22" s="12">
        <v>138480</v>
      </c>
      <c r="G22" s="12">
        <v>138720</v>
      </c>
      <c r="H22" s="12">
        <v>136080</v>
      </c>
      <c r="I22" s="12">
        <v>129600</v>
      </c>
      <c r="J22" s="12">
        <v>127440</v>
      </c>
      <c r="K22" s="12">
        <v>22080</v>
      </c>
      <c r="L22" s="12">
        <v>25680</v>
      </c>
      <c r="M22" s="12">
        <v>6458654</v>
      </c>
      <c r="N22" s="12">
        <v>8420632</v>
      </c>
      <c r="O22" s="12">
        <v>4659535</v>
      </c>
      <c r="P22" s="12">
        <v>9754005</v>
      </c>
      <c r="Q22" s="12">
        <v>10025733</v>
      </c>
      <c r="R22" s="12">
        <v>10078341</v>
      </c>
      <c r="S22" s="12">
        <v>9924501</v>
      </c>
      <c r="T22" s="12">
        <v>9651093</v>
      </c>
      <c r="U22" s="12">
        <v>9611925</v>
      </c>
      <c r="V22" s="12">
        <v>1766400</v>
      </c>
      <c r="W22" s="12">
        <v>2054400</v>
      </c>
      <c r="X22" s="10" t="s">
        <v>770</v>
      </c>
      <c r="Y22" s="10" t="s">
        <v>771</v>
      </c>
      <c r="Z22" s="10" t="s">
        <v>772</v>
      </c>
      <c r="AA22" s="10" t="s">
        <v>773</v>
      </c>
      <c r="AB22" s="10" t="s">
        <v>774</v>
      </c>
      <c r="AC22" s="11" t="s">
        <v>775</v>
      </c>
      <c r="AD22" s="10" t="s">
        <v>776</v>
      </c>
      <c r="AE22" s="10" t="s">
        <v>777</v>
      </c>
      <c r="AF22" s="10" t="s">
        <v>778</v>
      </c>
      <c r="AG22" s="10" t="s">
        <v>779</v>
      </c>
      <c r="AH22" s="10" t="s">
        <v>780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9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9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9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9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9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9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9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9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9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</row>
    <row x14ac:dyDescent="0.25" r="23" customHeight="1" ht="18" customFormat="1" s="8">
      <c r="A23" s="9" t="s">
        <v>781</v>
      </c>
      <c r="B23" s="12">
        <v>368400</v>
      </c>
      <c r="C23" s="12">
        <v>368400</v>
      </c>
      <c r="D23" s="12">
        <v>229200</v>
      </c>
      <c r="E23" s="12">
        <v>368400</v>
      </c>
      <c r="F23" s="12">
        <v>368400</v>
      </c>
      <c r="G23" s="12">
        <v>368400</v>
      </c>
      <c r="H23" s="12">
        <v>367200</v>
      </c>
      <c r="I23" s="12">
        <v>361680</v>
      </c>
      <c r="J23" s="12">
        <v>365280</v>
      </c>
      <c r="K23" s="12">
        <v>365280</v>
      </c>
      <c r="L23" s="12">
        <v>354720</v>
      </c>
      <c r="M23" s="12">
        <v>15546480</v>
      </c>
      <c r="N23" s="12">
        <v>15546480</v>
      </c>
      <c r="O23" s="12">
        <v>10196088</v>
      </c>
      <c r="P23" s="12">
        <v>15546480</v>
      </c>
      <c r="Q23" s="12">
        <v>15546480</v>
      </c>
      <c r="R23" s="12">
        <v>15546480</v>
      </c>
      <c r="S23" s="12">
        <v>15537888</v>
      </c>
      <c r="T23" s="12">
        <v>15539712</v>
      </c>
      <c r="U23" s="12">
        <v>15540960</v>
      </c>
      <c r="V23" s="12">
        <v>15544464</v>
      </c>
      <c r="W23" s="12">
        <v>15543840</v>
      </c>
      <c r="X23" s="10" t="s">
        <v>467</v>
      </c>
      <c r="Y23" s="10" t="s">
        <v>467</v>
      </c>
      <c r="Z23" s="10" t="s">
        <v>782</v>
      </c>
      <c r="AA23" s="10" t="s">
        <v>467</v>
      </c>
      <c r="AB23" s="10" t="s">
        <v>467</v>
      </c>
      <c r="AC23" s="11" t="s">
        <v>467</v>
      </c>
      <c r="AD23" s="10" t="s">
        <v>783</v>
      </c>
      <c r="AE23" s="10" t="s">
        <v>485</v>
      </c>
      <c r="AF23" s="10" t="s">
        <v>465</v>
      </c>
      <c r="AG23" s="10" t="s">
        <v>466</v>
      </c>
      <c r="AH23" s="10" t="s">
        <v>466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9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9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9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9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9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9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9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9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9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</row>
    <row x14ac:dyDescent="0.25" r="24" customHeight="1" ht="18" customFormat="1" s="8">
      <c r="A24" s="9" t="s">
        <v>784</v>
      </c>
      <c r="B24" s="12">
        <v>333120</v>
      </c>
      <c r="C24" s="12">
        <v>262320</v>
      </c>
      <c r="D24" s="12">
        <v>67920</v>
      </c>
      <c r="E24" s="12">
        <v>260160</v>
      </c>
      <c r="F24" s="12">
        <v>269520</v>
      </c>
      <c r="G24" s="12">
        <v>279120</v>
      </c>
      <c r="H24" s="12">
        <v>294720</v>
      </c>
      <c r="I24" s="12">
        <v>0</v>
      </c>
      <c r="J24" s="12">
        <v>0</v>
      </c>
      <c r="K24" s="12">
        <v>0</v>
      </c>
      <c r="L24" s="12">
        <v>0</v>
      </c>
      <c r="M24" s="12">
        <v>11449334</v>
      </c>
      <c r="N24" s="12">
        <v>9015938</v>
      </c>
      <c r="O24" s="12">
        <v>2334410</v>
      </c>
      <c r="P24" s="12">
        <v>8941699</v>
      </c>
      <c r="Q24" s="12">
        <v>9263402</v>
      </c>
      <c r="R24" s="12">
        <v>9593354</v>
      </c>
      <c r="S24" s="12">
        <v>10129526</v>
      </c>
      <c r="T24" s="12">
        <v>0</v>
      </c>
      <c r="U24" s="12">
        <v>0</v>
      </c>
      <c r="V24" s="12">
        <v>0</v>
      </c>
      <c r="W24" s="12">
        <v>0</v>
      </c>
      <c r="X24" s="10" t="s">
        <v>785</v>
      </c>
      <c r="Y24" s="10" t="s">
        <v>786</v>
      </c>
      <c r="Z24" s="10" t="s">
        <v>787</v>
      </c>
      <c r="AA24" s="10" t="s">
        <v>788</v>
      </c>
      <c r="AB24" s="10" t="s">
        <v>789</v>
      </c>
      <c r="AC24" s="11" t="s">
        <v>790</v>
      </c>
      <c r="AD24" s="10" t="s">
        <v>791</v>
      </c>
      <c r="AE24" s="10" t="s">
        <v>112</v>
      </c>
      <c r="AF24" s="10" t="s">
        <v>112</v>
      </c>
      <c r="AG24" s="10" t="s">
        <v>112</v>
      </c>
      <c r="AH24" s="10" t="s">
        <v>112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9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9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9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9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9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9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9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9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9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</row>
    <row x14ac:dyDescent="0.25" r="25" customHeight="1" ht="18" customFormat="1" s="8">
      <c r="A25" s="9" t="s">
        <v>792</v>
      </c>
      <c r="B25" s="12">
        <v>328560</v>
      </c>
      <c r="C25" s="12">
        <v>242880</v>
      </c>
      <c r="D25" s="12">
        <v>14400</v>
      </c>
      <c r="E25" s="12">
        <v>173520</v>
      </c>
      <c r="F25" s="12">
        <v>127920</v>
      </c>
      <c r="G25" s="12">
        <v>126960</v>
      </c>
      <c r="H25" s="12">
        <v>12960</v>
      </c>
      <c r="I25" s="12">
        <v>2880</v>
      </c>
      <c r="J25" s="12">
        <v>2400</v>
      </c>
      <c r="K25" s="12">
        <v>2400</v>
      </c>
      <c r="L25" s="12">
        <v>1680</v>
      </c>
      <c r="M25" s="12">
        <v>11318892</v>
      </c>
      <c r="N25" s="12">
        <v>8367216</v>
      </c>
      <c r="O25" s="12">
        <v>496080</v>
      </c>
      <c r="P25" s="12">
        <v>5956797</v>
      </c>
      <c r="Q25" s="12">
        <v>4385877</v>
      </c>
      <c r="R25" s="12">
        <v>4352805</v>
      </c>
      <c r="S25" s="12">
        <v>425505</v>
      </c>
      <c r="T25" s="12">
        <v>79862</v>
      </c>
      <c r="U25" s="12">
        <v>66552</v>
      </c>
      <c r="V25" s="12">
        <v>66552</v>
      </c>
      <c r="W25" s="12">
        <v>46586</v>
      </c>
      <c r="X25" s="10" t="s">
        <v>793</v>
      </c>
      <c r="Y25" s="10" t="s">
        <v>794</v>
      </c>
      <c r="Z25" s="10" t="s">
        <v>795</v>
      </c>
      <c r="AA25" s="10" t="s">
        <v>796</v>
      </c>
      <c r="AB25" s="10" t="s">
        <v>797</v>
      </c>
      <c r="AC25" s="11" t="s">
        <v>728</v>
      </c>
      <c r="AD25" s="10" t="s">
        <v>798</v>
      </c>
      <c r="AE25" s="10" t="s">
        <v>799</v>
      </c>
      <c r="AF25" s="10" t="s">
        <v>800</v>
      </c>
      <c r="AG25" s="10" t="s">
        <v>800</v>
      </c>
      <c r="AH25" s="10" t="s">
        <v>801</v>
      </c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9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9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9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9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9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9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9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9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9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</row>
    <row x14ac:dyDescent="0.25" r="26" customHeight="1" ht="18" customFormat="1" s="8">
      <c r="A26" s="9" t="s">
        <v>802</v>
      </c>
      <c r="B26" s="12">
        <v>348960</v>
      </c>
      <c r="C26" s="12">
        <v>368400</v>
      </c>
      <c r="D26" s="12">
        <v>0</v>
      </c>
      <c r="E26" s="12">
        <v>324240</v>
      </c>
      <c r="F26" s="12">
        <v>324960</v>
      </c>
      <c r="G26" s="12">
        <v>304560</v>
      </c>
      <c r="H26" s="12">
        <v>294960</v>
      </c>
      <c r="I26" s="12">
        <v>197520</v>
      </c>
      <c r="J26" s="12">
        <v>215760</v>
      </c>
      <c r="K26" s="12">
        <v>206400</v>
      </c>
      <c r="L26" s="12">
        <v>37920</v>
      </c>
      <c r="M26" s="12">
        <v>15537288</v>
      </c>
      <c r="N26" s="12">
        <v>15546480</v>
      </c>
      <c r="O26" s="12">
        <v>0</v>
      </c>
      <c r="P26" s="12">
        <v>15538296</v>
      </c>
      <c r="Q26" s="12">
        <v>15538896</v>
      </c>
      <c r="R26" s="12">
        <v>14628960</v>
      </c>
      <c r="S26" s="12">
        <v>14600520</v>
      </c>
      <c r="T26" s="12">
        <v>9777240</v>
      </c>
      <c r="U26" s="12">
        <v>10680120</v>
      </c>
      <c r="V26" s="12">
        <v>10216800</v>
      </c>
      <c r="W26" s="12">
        <v>1877040</v>
      </c>
      <c r="X26" s="10" t="s">
        <v>783</v>
      </c>
      <c r="Y26" s="10" t="s">
        <v>467</v>
      </c>
      <c r="Z26" s="10" t="s">
        <v>112</v>
      </c>
      <c r="AA26" s="10" t="s">
        <v>783</v>
      </c>
      <c r="AB26" s="10" t="s">
        <v>485</v>
      </c>
      <c r="AC26" s="11" t="s">
        <v>803</v>
      </c>
      <c r="AD26" s="10" t="s">
        <v>804</v>
      </c>
      <c r="AE26" s="10" t="s">
        <v>805</v>
      </c>
      <c r="AF26" s="10" t="s">
        <v>806</v>
      </c>
      <c r="AG26" s="10" t="s">
        <v>807</v>
      </c>
      <c r="AH26" s="10" t="s">
        <v>808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9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9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9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9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9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13"/>
      <c r="LF26" s="13"/>
      <c r="LG26" s="13"/>
      <c r="LH26" s="13"/>
      <c r="LI26" s="13"/>
      <c r="LJ26" s="13"/>
      <c r="LK26" s="9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9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9"/>
      <c r="PB26" s="13"/>
      <c r="PC26" s="13"/>
      <c r="PD26" s="13"/>
      <c r="PE26" s="13"/>
      <c r="PF26" s="13"/>
      <c r="PG26" s="13"/>
      <c r="PH26" s="13"/>
      <c r="PI26" s="13"/>
      <c r="PJ26" s="13"/>
      <c r="PK26" s="13"/>
      <c r="PL26" s="13"/>
      <c r="PM26" s="13"/>
      <c r="PN26" s="13"/>
      <c r="PO26" s="13"/>
      <c r="PP26" s="13"/>
      <c r="PQ26" s="13"/>
      <c r="PR26" s="13"/>
      <c r="PS26" s="13"/>
      <c r="PT26" s="13"/>
      <c r="PU26" s="13"/>
      <c r="PV26" s="13"/>
      <c r="PW26" s="13"/>
      <c r="PX26" s="13"/>
      <c r="PY26" s="13"/>
      <c r="PZ26" s="13"/>
      <c r="QA26" s="13"/>
      <c r="QB26" s="13"/>
      <c r="QC26" s="13"/>
      <c r="QD26" s="13"/>
      <c r="QE26" s="13"/>
      <c r="QF26" s="13"/>
      <c r="QG26" s="13"/>
      <c r="QH26" s="13"/>
      <c r="QI26" s="13"/>
      <c r="QJ26" s="13"/>
      <c r="QK26" s="9"/>
      <c r="QL26" s="13"/>
      <c r="QM26" s="13"/>
      <c r="QN26" s="13"/>
      <c r="QO26" s="13"/>
      <c r="QP26" s="13"/>
      <c r="QQ26" s="13"/>
      <c r="QR26" s="13"/>
      <c r="QS26" s="13"/>
      <c r="QT26" s="13"/>
      <c r="QU26" s="13"/>
      <c r="QV26" s="13"/>
      <c r="QW26" s="13"/>
      <c r="QX26" s="13"/>
      <c r="QY26" s="13"/>
      <c r="QZ26" s="13"/>
      <c r="RA26" s="13"/>
      <c r="RB26" s="13"/>
      <c r="RC26" s="13"/>
      <c r="RD26" s="13"/>
      <c r="RE26" s="13"/>
      <c r="RF26" s="13"/>
      <c r="RG26" s="13"/>
      <c r="RH26" s="13"/>
      <c r="RI26" s="13"/>
      <c r="RJ26" s="13"/>
      <c r="RK26" s="13"/>
      <c r="RL26" s="13"/>
      <c r="RM26" s="13"/>
    </row>
    <row x14ac:dyDescent="0.25" r="27" customHeight="1" ht="18" customFormat="1" s="8">
      <c r="A27" s="9" t="s">
        <v>809</v>
      </c>
      <c r="B27" s="12">
        <v>313920</v>
      </c>
      <c r="C27" s="12">
        <v>332400</v>
      </c>
      <c r="D27" s="12">
        <v>0</v>
      </c>
      <c r="E27" s="12">
        <v>84720</v>
      </c>
      <c r="F27" s="12">
        <v>29520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15539040</v>
      </c>
      <c r="N27" s="12">
        <v>15535752</v>
      </c>
      <c r="O27" s="12">
        <v>0</v>
      </c>
      <c r="P27" s="12">
        <v>4193640</v>
      </c>
      <c r="Q27" s="12">
        <v>1461240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0" t="s">
        <v>485</v>
      </c>
      <c r="Y27" s="10" t="s">
        <v>714</v>
      </c>
      <c r="Z27" s="10" t="s">
        <v>112</v>
      </c>
      <c r="AA27" s="10" t="s">
        <v>810</v>
      </c>
      <c r="AB27" s="10" t="s">
        <v>811</v>
      </c>
      <c r="AC27" s="11" t="s">
        <v>112</v>
      </c>
      <c r="AD27" s="10" t="s">
        <v>112</v>
      </c>
      <c r="AE27" s="10" t="s">
        <v>112</v>
      </c>
      <c r="AF27" s="10" t="s">
        <v>112</v>
      </c>
      <c r="AG27" s="10" t="s">
        <v>112</v>
      </c>
      <c r="AH27" s="10" t="s">
        <v>112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9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9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9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9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9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13"/>
      <c r="LF27" s="13"/>
      <c r="LG27" s="13"/>
      <c r="LH27" s="13"/>
      <c r="LI27" s="13"/>
      <c r="LJ27" s="13"/>
      <c r="LK27" s="9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9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9"/>
      <c r="PB27" s="13"/>
      <c r="PC27" s="13"/>
      <c r="PD27" s="13"/>
      <c r="PE27" s="13"/>
      <c r="PF27" s="13"/>
      <c r="PG27" s="13"/>
      <c r="PH27" s="13"/>
      <c r="PI27" s="13"/>
      <c r="PJ27" s="13"/>
      <c r="PK27" s="13"/>
      <c r="PL27" s="13"/>
      <c r="PM27" s="13"/>
      <c r="PN27" s="13"/>
      <c r="PO27" s="13"/>
      <c r="PP27" s="13"/>
      <c r="PQ27" s="13"/>
      <c r="PR27" s="13"/>
      <c r="PS27" s="13"/>
      <c r="PT27" s="13"/>
      <c r="PU27" s="13"/>
      <c r="PV27" s="13"/>
      <c r="PW27" s="13"/>
      <c r="PX27" s="13"/>
      <c r="PY27" s="13"/>
      <c r="PZ27" s="13"/>
      <c r="QA27" s="13"/>
      <c r="QB27" s="13"/>
      <c r="QC27" s="13"/>
      <c r="QD27" s="13"/>
      <c r="QE27" s="13"/>
      <c r="QF27" s="13"/>
      <c r="QG27" s="13"/>
      <c r="QH27" s="13"/>
      <c r="QI27" s="13"/>
      <c r="QJ27" s="13"/>
      <c r="QK27" s="9"/>
      <c r="QL27" s="13"/>
      <c r="QM27" s="13"/>
      <c r="QN27" s="13"/>
      <c r="QO27" s="13"/>
      <c r="QP27" s="13"/>
      <c r="QQ27" s="13"/>
      <c r="QR27" s="13"/>
      <c r="QS27" s="13"/>
      <c r="QT27" s="13"/>
      <c r="QU27" s="13"/>
      <c r="QV27" s="13"/>
      <c r="QW27" s="13"/>
      <c r="QX27" s="13"/>
      <c r="QY27" s="13"/>
      <c r="QZ27" s="13"/>
      <c r="RA27" s="13"/>
      <c r="RB27" s="13"/>
      <c r="RC27" s="13"/>
      <c r="RD27" s="13"/>
      <c r="RE27" s="13"/>
      <c r="RF27" s="13"/>
      <c r="RG27" s="13"/>
      <c r="RH27" s="13"/>
      <c r="RI27" s="13"/>
      <c r="RJ27" s="13"/>
      <c r="RK27" s="13"/>
      <c r="RL27" s="13"/>
      <c r="RM27" s="13"/>
    </row>
    <row x14ac:dyDescent="0.25" r="28" customHeight="1" ht="18" customFormat="1" s="8">
      <c r="A28" s="9" t="s">
        <v>812</v>
      </c>
      <c r="B28" s="12">
        <v>181200</v>
      </c>
      <c r="C28" s="12">
        <v>153840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8969400</v>
      </c>
      <c r="N28" s="12">
        <v>7615080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0" t="s">
        <v>813</v>
      </c>
      <c r="Y28" s="10" t="s">
        <v>814</v>
      </c>
      <c r="Z28" s="10" t="s">
        <v>112</v>
      </c>
      <c r="AA28" s="10" t="s">
        <v>112</v>
      </c>
      <c r="AB28" s="10" t="s">
        <v>112</v>
      </c>
      <c r="AC28" s="11" t="s">
        <v>112</v>
      </c>
      <c r="AD28" s="10" t="s">
        <v>112</v>
      </c>
      <c r="AE28" s="10" t="s">
        <v>112</v>
      </c>
      <c r="AF28" s="10" t="s">
        <v>112</v>
      </c>
      <c r="AG28" s="10" t="s">
        <v>112</v>
      </c>
      <c r="AH28" s="10" t="s">
        <v>112</v>
      </c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9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9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9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9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9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9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9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  <c r="OW28" s="13"/>
      <c r="OX28" s="13"/>
      <c r="OY28" s="13"/>
      <c r="OZ28" s="13"/>
      <c r="PA28" s="9"/>
      <c r="PB28" s="13"/>
      <c r="PC28" s="13"/>
      <c r="PD28" s="13"/>
      <c r="PE28" s="13"/>
      <c r="PF28" s="13"/>
      <c r="PG28" s="13"/>
      <c r="PH28" s="13"/>
      <c r="PI28" s="13"/>
      <c r="PJ28" s="13"/>
      <c r="PK28" s="13"/>
      <c r="PL28" s="13"/>
      <c r="PM28" s="13"/>
      <c r="PN28" s="13"/>
      <c r="PO28" s="13"/>
      <c r="PP28" s="13"/>
      <c r="PQ28" s="13"/>
      <c r="PR28" s="13"/>
      <c r="PS28" s="13"/>
      <c r="PT28" s="13"/>
      <c r="PU28" s="13"/>
      <c r="PV28" s="13"/>
      <c r="PW28" s="13"/>
      <c r="PX28" s="13"/>
      <c r="PY28" s="13"/>
      <c r="PZ28" s="13"/>
      <c r="QA28" s="13"/>
      <c r="QB28" s="13"/>
      <c r="QC28" s="13"/>
      <c r="QD28" s="13"/>
      <c r="QE28" s="13"/>
      <c r="QF28" s="13"/>
      <c r="QG28" s="13"/>
      <c r="QH28" s="13"/>
      <c r="QI28" s="13"/>
      <c r="QJ28" s="13"/>
      <c r="QK28" s="9"/>
      <c r="QL28" s="13"/>
      <c r="QM28" s="13"/>
      <c r="QN28" s="13"/>
      <c r="QO28" s="13"/>
      <c r="QP28" s="13"/>
      <c r="QQ28" s="13"/>
      <c r="QR28" s="13"/>
      <c r="QS28" s="13"/>
      <c r="QT28" s="13"/>
      <c r="QU28" s="13"/>
      <c r="QV28" s="13"/>
      <c r="QW28" s="13"/>
      <c r="QX28" s="13"/>
      <c r="QY28" s="13"/>
      <c r="QZ28" s="13"/>
      <c r="RA28" s="13"/>
      <c r="RB28" s="13"/>
      <c r="RC28" s="13"/>
      <c r="RD28" s="13"/>
      <c r="RE28" s="13"/>
      <c r="RF28" s="13"/>
      <c r="RG28" s="13"/>
      <c r="RH28" s="13"/>
      <c r="RI28" s="13"/>
      <c r="RJ28" s="13"/>
      <c r="RK28" s="13"/>
      <c r="RL28" s="13"/>
      <c r="RM28" s="13"/>
    </row>
    <row x14ac:dyDescent="0.25" r="29" customHeight="1" ht="18" customFormat="1" s="8">
      <c r="A29" s="9" t="s">
        <v>815</v>
      </c>
      <c r="B29" s="12">
        <v>167760</v>
      </c>
      <c r="C29" s="12">
        <v>544320</v>
      </c>
      <c r="D29" s="12">
        <v>127200</v>
      </c>
      <c r="E29" s="12">
        <v>456720</v>
      </c>
      <c r="F29" s="12">
        <v>427920</v>
      </c>
      <c r="G29" s="12">
        <v>411840</v>
      </c>
      <c r="H29" s="12">
        <v>416160</v>
      </c>
      <c r="I29" s="12">
        <v>448800</v>
      </c>
      <c r="J29" s="12">
        <v>448080</v>
      </c>
      <c r="K29" s="12">
        <v>448080</v>
      </c>
      <c r="L29" s="12">
        <v>0</v>
      </c>
      <c r="M29" s="12">
        <v>4697280</v>
      </c>
      <c r="N29" s="12">
        <v>15240960</v>
      </c>
      <c r="O29" s="12">
        <v>3561600</v>
      </c>
      <c r="P29" s="12">
        <v>12788160</v>
      </c>
      <c r="Q29" s="12">
        <v>11981760</v>
      </c>
      <c r="R29" s="12">
        <v>11531520</v>
      </c>
      <c r="S29" s="12">
        <v>11652480</v>
      </c>
      <c r="T29" s="12">
        <v>12566400</v>
      </c>
      <c r="U29" s="12">
        <v>12546240</v>
      </c>
      <c r="V29" s="12">
        <v>12546240</v>
      </c>
      <c r="W29" s="12">
        <v>0</v>
      </c>
      <c r="X29" s="10" t="s">
        <v>816</v>
      </c>
      <c r="Y29" s="10" t="s">
        <v>817</v>
      </c>
      <c r="Z29" s="10" t="s">
        <v>818</v>
      </c>
      <c r="AA29" s="10" t="s">
        <v>819</v>
      </c>
      <c r="AB29" s="10" t="s">
        <v>820</v>
      </c>
      <c r="AC29" s="11" t="s">
        <v>821</v>
      </c>
      <c r="AD29" s="10" t="s">
        <v>822</v>
      </c>
      <c r="AE29" s="10" t="s">
        <v>823</v>
      </c>
      <c r="AF29" s="10" t="s">
        <v>824</v>
      </c>
      <c r="AG29" s="10" t="s">
        <v>824</v>
      </c>
      <c r="AH29" s="10" t="s">
        <v>112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9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9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9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9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9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9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9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9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9"/>
      <c r="QL29" s="13"/>
      <c r="QM29" s="13"/>
      <c r="QN29" s="13"/>
      <c r="QO29" s="13"/>
      <c r="QP29" s="13"/>
      <c r="QQ29" s="13"/>
      <c r="QR29" s="13"/>
      <c r="QS29" s="13"/>
      <c r="QT29" s="13"/>
      <c r="QU29" s="13"/>
      <c r="QV29" s="13"/>
      <c r="QW29" s="13"/>
      <c r="QX29" s="13"/>
      <c r="QY29" s="13"/>
      <c r="QZ29" s="13"/>
      <c r="RA29" s="13"/>
      <c r="RB29" s="13"/>
      <c r="RC29" s="13"/>
      <c r="RD29" s="13"/>
      <c r="RE29" s="13"/>
      <c r="RF29" s="13"/>
      <c r="RG29" s="13"/>
      <c r="RH29" s="13"/>
      <c r="RI29" s="13"/>
      <c r="RJ29" s="13"/>
      <c r="RK29" s="13"/>
      <c r="RL29" s="13"/>
      <c r="RM29" s="13"/>
    </row>
    <row x14ac:dyDescent="0.25" r="30" customHeight="1" ht="18" customFormat="1" s="8">
      <c r="A30" s="9" t="s">
        <v>825</v>
      </c>
      <c r="B30" s="12">
        <v>53520</v>
      </c>
      <c r="C30" s="12">
        <v>34320</v>
      </c>
      <c r="D30" s="12">
        <v>6480</v>
      </c>
      <c r="E30" s="12">
        <v>176880</v>
      </c>
      <c r="F30" s="12">
        <v>176880</v>
      </c>
      <c r="G30" s="12">
        <v>176880</v>
      </c>
      <c r="H30" s="12">
        <v>176880</v>
      </c>
      <c r="I30" s="12">
        <v>176880</v>
      </c>
      <c r="J30" s="12">
        <v>176880</v>
      </c>
      <c r="K30" s="12">
        <v>176880</v>
      </c>
      <c r="L30" s="12">
        <v>176880</v>
      </c>
      <c r="M30" s="12">
        <v>4699055</v>
      </c>
      <c r="N30" s="12">
        <v>3013296</v>
      </c>
      <c r="O30" s="12">
        <v>568944</v>
      </c>
      <c r="P30" s="12">
        <v>15530064</v>
      </c>
      <c r="Q30" s="12">
        <v>15530064</v>
      </c>
      <c r="R30" s="12">
        <v>15530064</v>
      </c>
      <c r="S30" s="12">
        <v>15530064</v>
      </c>
      <c r="T30" s="12">
        <v>15530064</v>
      </c>
      <c r="U30" s="12">
        <v>15530064</v>
      </c>
      <c r="V30" s="12">
        <v>15530064</v>
      </c>
      <c r="W30" s="12">
        <v>15530064</v>
      </c>
      <c r="X30" s="10" t="s">
        <v>826</v>
      </c>
      <c r="Y30" s="10" t="s">
        <v>827</v>
      </c>
      <c r="Z30" s="10" t="s">
        <v>828</v>
      </c>
      <c r="AA30" s="10" t="s">
        <v>499</v>
      </c>
      <c r="AB30" s="10" t="s">
        <v>499</v>
      </c>
      <c r="AC30" s="11" t="s">
        <v>499</v>
      </c>
      <c r="AD30" s="10" t="s">
        <v>499</v>
      </c>
      <c r="AE30" s="10" t="s">
        <v>499</v>
      </c>
      <c r="AF30" s="10" t="s">
        <v>499</v>
      </c>
      <c r="AG30" s="10" t="s">
        <v>499</v>
      </c>
      <c r="AH30" s="10" t="s">
        <v>499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9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9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9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9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9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9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9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  <c r="OW30" s="13"/>
      <c r="OX30" s="13"/>
      <c r="OY30" s="13"/>
      <c r="OZ30" s="13"/>
      <c r="PA30" s="9"/>
      <c r="PB30" s="13"/>
      <c r="PC30" s="13"/>
      <c r="PD30" s="13"/>
      <c r="PE30" s="13"/>
      <c r="PF30" s="13"/>
      <c r="PG30" s="13"/>
      <c r="PH30" s="13"/>
      <c r="PI30" s="13"/>
      <c r="PJ30" s="13"/>
      <c r="PK30" s="13"/>
      <c r="PL30" s="13"/>
      <c r="PM30" s="13"/>
      <c r="PN30" s="13"/>
      <c r="PO30" s="13"/>
      <c r="PP30" s="13"/>
      <c r="PQ30" s="13"/>
      <c r="PR30" s="13"/>
      <c r="PS30" s="13"/>
      <c r="PT30" s="13"/>
      <c r="PU30" s="13"/>
      <c r="PV30" s="13"/>
      <c r="PW30" s="13"/>
      <c r="PX30" s="13"/>
      <c r="PY30" s="13"/>
      <c r="PZ30" s="13"/>
      <c r="QA30" s="13"/>
      <c r="QB30" s="13"/>
      <c r="QC30" s="13"/>
      <c r="QD30" s="13"/>
      <c r="QE30" s="13"/>
      <c r="QF30" s="13"/>
      <c r="QG30" s="13"/>
      <c r="QH30" s="13"/>
      <c r="QI30" s="13"/>
      <c r="QJ30" s="13"/>
      <c r="QK30" s="9"/>
      <c r="QL30" s="13"/>
      <c r="QM30" s="13"/>
      <c r="QN30" s="13"/>
      <c r="QO30" s="13"/>
      <c r="QP30" s="13"/>
      <c r="QQ30" s="13"/>
      <c r="QR30" s="13"/>
      <c r="QS30" s="13"/>
      <c r="QT30" s="13"/>
      <c r="QU30" s="13"/>
      <c r="QV30" s="13"/>
      <c r="QW30" s="13"/>
      <c r="QX30" s="13"/>
      <c r="QY30" s="13"/>
      <c r="QZ30" s="13"/>
      <c r="RA30" s="13"/>
      <c r="RB30" s="13"/>
      <c r="RC30" s="13"/>
      <c r="RD30" s="13"/>
      <c r="RE30" s="13"/>
      <c r="RF30" s="13"/>
      <c r="RG30" s="13"/>
      <c r="RH30" s="13"/>
      <c r="RI30" s="13"/>
      <c r="RJ30" s="13"/>
      <c r="RK30" s="13"/>
      <c r="RL30" s="13"/>
      <c r="RM30" s="13"/>
    </row>
    <row x14ac:dyDescent="0.25" r="31" customHeight="1" ht="18" customFormat="1" s="8">
      <c r="A31" s="9" t="s">
        <v>829</v>
      </c>
      <c r="B31" s="12">
        <v>0</v>
      </c>
      <c r="C31" s="12">
        <v>0</v>
      </c>
      <c r="D31" s="12">
        <v>0</v>
      </c>
      <c r="E31" s="12">
        <v>19920</v>
      </c>
      <c r="F31" s="12">
        <v>34080</v>
      </c>
      <c r="G31" s="12">
        <v>64800</v>
      </c>
      <c r="H31" s="12">
        <v>69120</v>
      </c>
      <c r="I31" s="12">
        <v>164400</v>
      </c>
      <c r="J31" s="12">
        <v>176880</v>
      </c>
      <c r="K31" s="12">
        <v>176880</v>
      </c>
      <c r="L31" s="12">
        <v>176880</v>
      </c>
      <c r="M31" s="12">
        <v>0</v>
      </c>
      <c r="N31" s="12">
        <v>0</v>
      </c>
      <c r="O31" s="12">
        <v>0</v>
      </c>
      <c r="P31" s="12">
        <v>1748976</v>
      </c>
      <c r="Q31" s="12">
        <v>2992224</v>
      </c>
      <c r="R31" s="12">
        <v>5689440</v>
      </c>
      <c r="S31" s="12">
        <v>6068736</v>
      </c>
      <c r="T31" s="12">
        <v>14434319</v>
      </c>
      <c r="U31" s="12">
        <v>15530064</v>
      </c>
      <c r="V31" s="12">
        <v>15530064</v>
      </c>
      <c r="W31" s="12">
        <v>15530064</v>
      </c>
      <c r="X31" s="10" t="s">
        <v>112</v>
      </c>
      <c r="Y31" s="10" t="s">
        <v>112</v>
      </c>
      <c r="Z31" s="10" t="s">
        <v>112</v>
      </c>
      <c r="AA31" s="10" t="s">
        <v>830</v>
      </c>
      <c r="AB31" s="10" t="s">
        <v>831</v>
      </c>
      <c r="AC31" s="11" t="s">
        <v>832</v>
      </c>
      <c r="AD31" s="10" t="s">
        <v>833</v>
      </c>
      <c r="AE31" s="10" t="s">
        <v>834</v>
      </c>
      <c r="AF31" s="10" t="s">
        <v>499</v>
      </c>
      <c r="AG31" s="10" t="s">
        <v>499</v>
      </c>
      <c r="AH31" s="10" t="s">
        <v>499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9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9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9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9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9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9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9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  <c r="OW31" s="13"/>
      <c r="OX31" s="13"/>
      <c r="OY31" s="13"/>
      <c r="OZ31" s="13"/>
      <c r="PA31" s="9"/>
      <c r="PB31" s="13"/>
      <c r="PC31" s="13"/>
      <c r="PD31" s="13"/>
      <c r="PE31" s="13"/>
      <c r="PF31" s="13"/>
      <c r="PG31" s="13"/>
      <c r="PH31" s="13"/>
      <c r="PI31" s="13"/>
      <c r="PJ31" s="13"/>
      <c r="PK31" s="13"/>
      <c r="PL31" s="13"/>
      <c r="PM31" s="13"/>
      <c r="PN31" s="13"/>
      <c r="PO31" s="13"/>
      <c r="PP31" s="13"/>
      <c r="PQ31" s="13"/>
      <c r="PR31" s="13"/>
      <c r="PS31" s="13"/>
      <c r="PT31" s="13"/>
      <c r="PU31" s="13"/>
      <c r="PV31" s="13"/>
      <c r="PW31" s="13"/>
      <c r="PX31" s="13"/>
      <c r="PY31" s="13"/>
      <c r="PZ31" s="13"/>
      <c r="QA31" s="13"/>
      <c r="QB31" s="13"/>
      <c r="QC31" s="13"/>
      <c r="QD31" s="13"/>
      <c r="QE31" s="13"/>
      <c r="QF31" s="13"/>
      <c r="QG31" s="13"/>
      <c r="QH31" s="13"/>
      <c r="QI31" s="13"/>
      <c r="QJ31" s="13"/>
      <c r="QK31" s="9"/>
      <c r="QL31" s="13"/>
      <c r="QM31" s="13"/>
      <c r="QN31" s="13"/>
      <c r="QO31" s="13"/>
      <c r="QP31" s="13"/>
      <c r="QQ31" s="13"/>
      <c r="QR31" s="13"/>
      <c r="QS31" s="13"/>
      <c r="QT31" s="13"/>
      <c r="QU31" s="13"/>
      <c r="QV31" s="13"/>
      <c r="QW31" s="13"/>
      <c r="QX31" s="13"/>
      <c r="QY31" s="13"/>
      <c r="QZ31" s="13"/>
      <c r="RA31" s="13"/>
      <c r="RB31" s="13"/>
      <c r="RC31" s="13"/>
      <c r="RD31" s="13"/>
      <c r="RE31" s="13"/>
      <c r="RF31" s="13"/>
      <c r="RG31" s="13"/>
      <c r="RH31" s="13"/>
      <c r="RI31" s="13"/>
      <c r="RJ31" s="13"/>
      <c r="RK31" s="13"/>
      <c r="RL31" s="13"/>
      <c r="RM31" s="13"/>
    </row>
    <row x14ac:dyDescent="0.25" r="32" customHeight="1" ht="18" customFormat="1" s="8">
      <c r="A32" s="9" t="s">
        <v>835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98400</v>
      </c>
      <c r="K32" s="12">
        <v>176880</v>
      </c>
      <c r="L32" s="12">
        <v>138960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8639520</v>
      </c>
      <c r="V32" s="12">
        <v>15530064</v>
      </c>
      <c r="W32" s="12">
        <v>12200687</v>
      </c>
      <c r="X32" s="10" t="s">
        <v>112</v>
      </c>
      <c r="Y32" s="10" t="s">
        <v>112</v>
      </c>
      <c r="Z32" s="10" t="s">
        <v>112</v>
      </c>
      <c r="AA32" s="10" t="s">
        <v>112</v>
      </c>
      <c r="AB32" s="10" t="s">
        <v>112</v>
      </c>
      <c r="AC32" s="11" t="s">
        <v>112</v>
      </c>
      <c r="AD32" s="10" t="s">
        <v>112</v>
      </c>
      <c r="AE32" s="10" t="s">
        <v>112</v>
      </c>
      <c r="AF32" s="10" t="s">
        <v>836</v>
      </c>
      <c r="AG32" s="10" t="s">
        <v>499</v>
      </c>
      <c r="AH32" s="10" t="s">
        <v>837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9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9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9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9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9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9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9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  <c r="OW32" s="13"/>
      <c r="OX32" s="13"/>
      <c r="OY32" s="13"/>
      <c r="OZ32" s="13"/>
      <c r="PA32" s="9"/>
      <c r="PB32" s="13"/>
      <c r="PC32" s="13"/>
      <c r="PD32" s="13"/>
      <c r="PE32" s="13"/>
      <c r="PF32" s="13"/>
      <c r="PG32" s="13"/>
      <c r="PH32" s="13"/>
      <c r="PI32" s="13"/>
      <c r="PJ32" s="13"/>
      <c r="PK32" s="13"/>
      <c r="PL32" s="13"/>
      <c r="PM32" s="13"/>
      <c r="PN32" s="13"/>
      <c r="PO32" s="13"/>
      <c r="PP32" s="13"/>
      <c r="PQ32" s="13"/>
      <c r="PR32" s="13"/>
      <c r="PS32" s="13"/>
      <c r="PT32" s="13"/>
      <c r="PU32" s="13"/>
      <c r="PV32" s="13"/>
      <c r="PW32" s="13"/>
      <c r="PX32" s="13"/>
      <c r="PY32" s="13"/>
      <c r="PZ32" s="13"/>
      <c r="QA32" s="13"/>
      <c r="QB32" s="13"/>
      <c r="QC32" s="13"/>
      <c r="QD32" s="13"/>
      <c r="QE32" s="13"/>
      <c r="QF32" s="13"/>
      <c r="QG32" s="13"/>
      <c r="QH32" s="13"/>
      <c r="QI32" s="13"/>
      <c r="QJ32" s="13"/>
      <c r="QK32" s="9"/>
      <c r="QL32" s="13"/>
      <c r="QM32" s="13"/>
      <c r="QN32" s="13"/>
      <c r="QO32" s="13"/>
      <c r="QP32" s="13"/>
      <c r="QQ32" s="13"/>
      <c r="QR32" s="13"/>
      <c r="QS32" s="13"/>
      <c r="QT32" s="13"/>
      <c r="QU32" s="13"/>
      <c r="QV32" s="13"/>
      <c r="QW32" s="13"/>
      <c r="QX32" s="13"/>
      <c r="QY32" s="13"/>
      <c r="QZ32" s="13"/>
      <c r="RA32" s="13"/>
      <c r="RB32" s="13"/>
      <c r="RC32" s="13"/>
      <c r="RD32" s="13"/>
      <c r="RE32" s="13"/>
      <c r="RF32" s="13"/>
      <c r="RG32" s="13"/>
      <c r="RH32" s="13"/>
      <c r="RI32" s="13"/>
      <c r="RJ32" s="13"/>
      <c r="RK32" s="13"/>
      <c r="RL32" s="13"/>
      <c r="RM32" s="13"/>
    </row>
    <row x14ac:dyDescent="0.25" r="33" customHeight="1" ht="18" customFormat="1" s="8">
      <c r="A33" s="9" t="s">
        <v>838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65040</v>
      </c>
      <c r="H33" s="12">
        <v>92640</v>
      </c>
      <c r="I33" s="12">
        <v>93600</v>
      </c>
      <c r="J33" s="12">
        <v>93600</v>
      </c>
      <c r="K33" s="12">
        <v>93600</v>
      </c>
      <c r="L33" s="12">
        <v>93600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10796640</v>
      </c>
      <c r="S33" s="12">
        <v>15378240</v>
      </c>
      <c r="T33" s="12">
        <v>15537600</v>
      </c>
      <c r="U33" s="12">
        <v>15537600</v>
      </c>
      <c r="V33" s="12">
        <v>15537600</v>
      </c>
      <c r="W33" s="12">
        <v>15537600</v>
      </c>
      <c r="X33" s="10" t="s">
        <v>112</v>
      </c>
      <c r="Y33" s="10" t="s">
        <v>112</v>
      </c>
      <c r="Z33" s="10" t="s">
        <v>112</v>
      </c>
      <c r="AA33" s="10" t="s">
        <v>112</v>
      </c>
      <c r="AB33" s="10" t="s">
        <v>112</v>
      </c>
      <c r="AC33" s="11" t="s">
        <v>839</v>
      </c>
      <c r="AD33" s="10" t="s">
        <v>840</v>
      </c>
      <c r="AE33" s="10" t="s">
        <v>783</v>
      </c>
      <c r="AF33" s="10" t="s">
        <v>783</v>
      </c>
      <c r="AG33" s="10" t="s">
        <v>783</v>
      </c>
      <c r="AH33" s="10" t="s">
        <v>783</v>
      </c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9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9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9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9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9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9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9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9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9"/>
      <c r="QL33" s="13"/>
      <c r="QM33" s="13"/>
      <c r="QN33" s="13"/>
      <c r="QO33" s="13"/>
      <c r="QP33" s="13"/>
      <c r="QQ33" s="13"/>
      <c r="QR33" s="13"/>
      <c r="QS33" s="13"/>
      <c r="QT33" s="13"/>
      <c r="QU33" s="13"/>
      <c r="QV33" s="13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</row>
    <row x14ac:dyDescent="0.25" r="34" customHeight="1" ht="18" customFormat="1" s="8">
      <c r="A34" s="9" t="s">
        <v>841</v>
      </c>
      <c r="B34" s="12">
        <v>0</v>
      </c>
      <c r="C34" s="12">
        <v>0</v>
      </c>
      <c r="D34" s="12">
        <v>0</v>
      </c>
      <c r="E34" s="12">
        <v>960</v>
      </c>
      <c r="F34" s="12">
        <v>69120</v>
      </c>
      <c r="G34" s="12">
        <v>128160</v>
      </c>
      <c r="H34" s="12">
        <v>243840</v>
      </c>
      <c r="I34" s="12">
        <v>244320</v>
      </c>
      <c r="J34" s="12">
        <v>244560</v>
      </c>
      <c r="K34" s="12">
        <v>244800</v>
      </c>
      <c r="L34" s="12">
        <v>243840</v>
      </c>
      <c r="M34" s="12">
        <v>0</v>
      </c>
      <c r="N34" s="12">
        <v>0</v>
      </c>
      <c r="O34" s="12">
        <v>0</v>
      </c>
      <c r="P34" s="12">
        <v>126408</v>
      </c>
      <c r="Q34" s="12">
        <v>4480392</v>
      </c>
      <c r="R34" s="12">
        <v>8195735</v>
      </c>
      <c r="S34" s="12">
        <v>15540864</v>
      </c>
      <c r="T34" s="12">
        <v>15537551</v>
      </c>
      <c r="U34" s="12">
        <v>15546744</v>
      </c>
      <c r="V34" s="12">
        <v>15543312</v>
      </c>
      <c r="W34" s="12">
        <v>15542592</v>
      </c>
      <c r="X34" s="10" t="s">
        <v>112</v>
      </c>
      <c r="Y34" s="10" t="s">
        <v>112</v>
      </c>
      <c r="Z34" s="10" t="s">
        <v>112</v>
      </c>
      <c r="AA34" s="10" t="s">
        <v>842</v>
      </c>
      <c r="AB34" s="10" t="s">
        <v>843</v>
      </c>
      <c r="AC34" s="11" t="s">
        <v>844</v>
      </c>
      <c r="AD34" s="10" t="s">
        <v>465</v>
      </c>
      <c r="AE34" s="10" t="s">
        <v>783</v>
      </c>
      <c r="AF34" s="10" t="s">
        <v>467</v>
      </c>
      <c r="AG34" s="10" t="s">
        <v>308</v>
      </c>
      <c r="AH34" s="10" t="s">
        <v>308</v>
      </c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9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9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9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9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9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9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9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  <c r="OW34" s="13"/>
      <c r="OX34" s="13"/>
      <c r="OY34" s="13"/>
      <c r="OZ34" s="13"/>
      <c r="PA34" s="9"/>
      <c r="PB34" s="13"/>
      <c r="PC34" s="13"/>
      <c r="PD34" s="13"/>
      <c r="PE34" s="13"/>
      <c r="PF34" s="13"/>
      <c r="PG34" s="13"/>
      <c r="PH34" s="13"/>
      <c r="PI34" s="13"/>
      <c r="PJ34" s="13"/>
      <c r="PK34" s="13"/>
      <c r="PL34" s="13"/>
      <c r="PM34" s="13"/>
      <c r="PN34" s="13"/>
      <c r="PO34" s="13"/>
      <c r="PP34" s="13"/>
      <c r="PQ34" s="13"/>
      <c r="PR34" s="13"/>
      <c r="PS34" s="13"/>
      <c r="PT34" s="13"/>
      <c r="PU34" s="13"/>
      <c r="PV34" s="13"/>
      <c r="PW34" s="13"/>
      <c r="PX34" s="13"/>
      <c r="PY34" s="13"/>
      <c r="PZ34" s="13"/>
      <c r="QA34" s="13"/>
      <c r="QB34" s="13"/>
      <c r="QC34" s="13"/>
      <c r="QD34" s="13"/>
      <c r="QE34" s="13"/>
      <c r="QF34" s="13"/>
      <c r="QG34" s="13"/>
      <c r="QH34" s="13"/>
      <c r="QI34" s="13"/>
      <c r="QJ34" s="13"/>
      <c r="QK34" s="9"/>
      <c r="QL34" s="13"/>
      <c r="QM34" s="13"/>
      <c r="QN34" s="13"/>
      <c r="QO34" s="13"/>
      <c r="QP34" s="13"/>
      <c r="QQ34" s="13"/>
      <c r="QR34" s="13"/>
      <c r="QS34" s="13"/>
      <c r="QT34" s="13"/>
      <c r="QU34" s="13"/>
      <c r="QV34" s="13"/>
      <c r="QW34" s="13"/>
      <c r="QX34" s="13"/>
      <c r="QY34" s="13"/>
      <c r="QZ34" s="13"/>
      <c r="RA34" s="13"/>
      <c r="RB34" s="13"/>
      <c r="RC34" s="13"/>
      <c r="RD34" s="13"/>
      <c r="RE34" s="13"/>
      <c r="RF34" s="13"/>
      <c r="RG34" s="13"/>
      <c r="RH34" s="13"/>
      <c r="RI34" s="13"/>
      <c r="RJ34" s="13"/>
      <c r="RK34" s="13"/>
      <c r="RL34" s="13"/>
      <c r="RM34" s="13"/>
    </row>
    <row x14ac:dyDescent="0.25" r="35" customHeight="1" ht="18" customFormat="1" s="8">
      <c r="A35" s="9" t="s">
        <v>845</v>
      </c>
      <c r="B35" s="12">
        <v>0</v>
      </c>
      <c r="C35" s="12">
        <v>0</v>
      </c>
      <c r="D35" s="12">
        <v>0</v>
      </c>
      <c r="E35" s="12">
        <v>115200</v>
      </c>
      <c r="F35" s="12">
        <v>109680</v>
      </c>
      <c r="G35" s="12">
        <v>109680</v>
      </c>
      <c r="H35" s="12">
        <v>109680</v>
      </c>
      <c r="I35" s="12">
        <v>109680</v>
      </c>
      <c r="J35" s="12">
        <v>82080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2033280</v>
      </c>
      <c r="Q35" s="12">
        <v>1935851</v>
      </c>
      <c r="R35" s="12">
        <v>1935851</v>
      </c>
      <c r="S35" s="12">
        <v>1935851</v>
      </c>
      <c r="T35" s="12">
        <v>1935851</v>
      </c>
      <c r="U35" s="12">
        <v>1448712</v>
      </c>
      <c r="V35" s="12">
        <v>0</v>
      </c>
      <c r="W35" s="12">
        <v>0</v>
      </c>
      <c r="X35" s="10" t="s">
        <v>112</v>
      </c>
      <c r="Y35" s="10" t="s">
        <v>112</v>
      </c>
      <c r="Z35" s="10" t="s">
        <v>112</v>
      </c>
      <c r="AA35" s="10" t="s">
        <v>846</v>
      </c>
      <c r="AB35" s="10" t="s">
        <v>847</v>
      </c>
      <c r="AC35" s="11" t="s">
        <v>847</v>
      </c>
      <c r="AD35" s="10" t="s">
        <v>847</v>
      </c>
      <c r="AE35" s="10" t="s">
        <v>847</v>
      </c>
      <c r="AF35" s="10" t="s">
        <v>848</v>
      </c>
      <c r="AG35" s="10" t="s">
        <v>112</v>
      </c>
      <c r="AH35" s="10" t="s">
        <v>112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9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9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9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9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9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3"/>
      <c r="KG35" s="13"/>
      <c r="KH35" s="13"/>
      <c r="KI35" s="13"/>
      <c r="KJ35" s="13"/>
      <c r="KK35" s="13"/>
      <c r="KL35" s="13"/>
      <c r="KM35" s="13"/>
      <c r="KN35" s="13"/>
      <c r="KO35" s="13"/>
      <c r="KP35" s="13"/>
      <c r="KQ35" s="13"/>
      <c r="KR35" s="13"/>
      <c r="KS35" s="13"/>
      <c r="KT35" s="13"/>
      <c r="KU35" s="13"/>
      <c r="KV35" s="13"/>
      <c r="KW35" s="13"/>
      <c r="KX35" s="13"/>
      <c r="KY35" s="13"/>
      <c r="KZ35" s="13"/>
      <c r="LA35" s="13"/>
      <c r="LB35" s="13"/>
      <c r="LC35" s="13"/>
      <c r="LD35" s="13"/>
      <c r="LE35" s="13"/>
      <c r="LF35" s="13"/>
      <c r="LG35" s="13"/>
      <c r="LH35" s="13"/>
      <c r="LI35" s="13"/>
      <c r="LJ35" s="13"/>
      <c r="LK35" s="9"/>
      <c r="LL35" s="13"/>
      <c r="LM35" s="13"/>
      <c r="LN35" s="13"/>
      <c r="LO35" s="13"/>
      <c r="LP35" s="13"/>
      <c r="LQ35" s="13"/>
      <c r="LR35" s="13"/>
      <c r="LS35" s="13"/>
      <c r="LT35" s="13"/>
      <c r="LU35" s="13"/>
      <c r="LV35" s="13"/>
      <c r="LW35" s="13"/>
      <c r="LX35" s="13"/>
      <c r="LY35" s="13"/>
      <c r="LZ35" s="13"/>
      <c r="MA35" s="13"/>
      <c r="MB35" s="13"/>
      <c r="MC35" s="13"/>
      <c r="MD35" s="13"/>
      <c r="ME35" s="13"/>
      <c r="MF35" s="13"/>
      <c r="MG35" s="13"/>
      <c r="MH35" s="13"/>
      <c r="MI35" s="13"/>
      <c r="MJ35" s="13"/>
      <c r="MK35" s="13"/>
      <c r="ML35" s="13"/>
      <c r="MM35" s="13"/>
      <c r="MN35" s="13"/>
      <c r="MO35" s="13"/>
      <c r="MP35" s="13"/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9"/>
      <c r="NH35" s="13"/>
      <c r="NI35" s="13"/>
      <c r="NJ35" s="13"/>
      <c r="NK35" s="13"/>
      <c r="NL35" s="13"/>
      <c r="NM35" s="13"/>
      <c r="NN35" s="13"/>
      <c r="NO35" s="13"/>
      <c r="NP35" s="13"/>
      <c r="NQ35" s="13"/>
      <c r="NR35" s="13"/>
      <c r="NS35" s="13"/>
      <c r="NT35" s="13"/>
      <c r="NU35" s="13"/>
      <c r="NV35" s="13"/>
      <c r="NW35" s="13"/>
      <c r="NX35" s="13"/>
      <c r="NY35" s="13"/>
      <c r="NZ35" s="13"/>
      <c r="OA35" s="13"/>
      <c r="OB35" s="13"/>
      <c r="OC35" s="13"/>
      <c r="OD35" s="13"/>
      <c r="OE35" s="13"/>
      <c r="OF35" s="13"/>
      <c r="OG35" s="13"/>
      <c r="OH35" s="13"/>
      <c r="OI35" s="13"/>
      <c r="OJ35" s="13"/>
      <c r="OK35" s="13"/>
      <c r="OL35" s="13"/>
      <c r="OM35" s="13"/>
      <c r="ON35" s="13"/>
      <c r="OO35" s="13"/>
      <c r="OP35" s="13"/>
      <c r="OQ35" s="13"/>
      <c r="OR35" s="13"/>
      <c r="OS35" s="13"/>
      <c r="OT35" s="13"/>
      <c r="OU35" s="13"/>
      <c r="OV35" s="13"/>
      <c r="OW35" s="13"/>
      <c r="OX35" s="13"/>
      <c r="OY35" s="13"/>
      <c r="OZ35" s="13"/>
      <c r="PA35" s="9"/>
      <c r="PB35" s="13"/>
      <c r="PC35" s="13"/>
      <c r="PD35" s="13"/>
      <c r="PE35" s="13"/>
      <c r="PF35" s="13"/>
      <c r="PG35" s="13"/>
      <c r="PH35" s="13"/>
      <c r="PI35" s="13"/>
      <c r="PJ35" s="13"/>
      <c r="PK35" s="13"/>
      <c r="PL35" s="13"/>
      <c r="PM35" s="13"/>
      <c r="PN35" s="13"/>
      <c r="PO35" s="13"/>
      <c r="PP35" s="13"/>
      <c r="PQ35" s="13"/>
      <c r="PR35" s="13"/>
      <c r="PS35" s="13"/>
      <c r="PT35" s="13"/>
      <c r="PU35" s="13"/>
      <c r="PV35" s="13"/>
      <c r="PW35" s="13"/>
      <c r="PX35" s="13"/>
      <c r="PY35" s="13"/>
      <c r="PZ35" s="13"/>
      <c r="QA35" s="13"/>
      <c r="QB35" s="13"/>
      <c r="QC35" s="13"/>
      <c r="QD35" s="13"/>
      <c r="QE35" s="13"/>
      <c r="QF35" s="13"/>
      <c r="QG35" s="13"/>
      <c r="QH35" s="13"/>
      <c r="QI35" s="13"/>
      <c r="QJ35" s="13"/>
      <c r="QK35" s="9"/>
      <c r="QL35" s="13"/>
      <c r="QM35" s="13"/>
      <c r="QN35" s="13"/>
      <c r="QO35" s="13"/>
      <c r="QP35" s="13"/>
      <c r="QQ35" s="13"/>
      <c r="QR35" s="13"/>
      <c r="QS35" s="13"/>
      <c r="QT35" s="13"/>
      <c r="QU35" s="13"/>
      <c r="QV35" s="13"/>
      <c r="QW35" s="13"/>
      <c r="QX35" s="13"/>
      <c r="QY35" s="13"/>
      <c r="QZ35" s="13"/>
      <c r="RA35" s="13"/>
      <c r="RB35" s="13"/>
      <c r="RC35" s="13"/>
      <c r="RD35" s="13"/>
      <c r="RE35" s="13"/>
      <c r="RF35" s="13"/>
      <c r="RG35" s="13"/>
      <c r="RH35" s="13"/>
      <c r="RI35" s="13"/>
      <c r="RJ35" s="13"/>
      <c r="RK35" s="13"/>
      <c r="RL35" s="13"/>
      <c r="RM35" s="13"/>
    </row>
    <row x14ac:dyDescent="0.25" r="36" customHeight="1" ht="18" customFormat="1" s="8">
      <c r="A36" s="9" t="s">
        <v>849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0" t="s">
        <v>112</v>
      </c>
      <c r="Y36" s="10" t="s">
        <v>112</v>
      </c>
      <c r="Z36" s="10" t="s">
        <v>112</v>
      </c>
      <c r="AA36" s="10" t="s">
        <v>112</v>
      </c>
      <c r="AB36" s="10" t="s">
        <v>112</v>
      </c>
      <c r="AC36" s="11" t="s">
        <v>112</v>
      </c>
      <c r="AD36" s="10" t="s">
        <v>112</v>
      </c>
      <c r="AE36" s="10" t="s">
        <v>112</v>
      </c>
      <c r="AF36" s="10" t="s">
        <v>112</v>
      </c>
      <c r="AG36" s="10" t="s">
        <v>112</v>
      </c>
      <c r="AH36" s="10" t="s">
        <v>112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9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9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9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9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9"/>
      <c r="JL36" s="13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3"/>
      <c r="KG36" s="13"/>
      <c r="KH36" s="13"/>
      <c r="KI36" s="13"/>
      <c r="KJ36" s="13"/>
      <c r="KK36" s="13"/>
      <c r="KL36" s="13"/>
      <c r="KM36" s="13"/>
      <c r="KN36" s="13"/>
      <c r="KO36" s="13"/>
      <c r="KP36" s="13"/>
      <c r="KQ36" s="13"/>
      <c r="KR36" s="13"/>
      <c r="KS36" s="13"/>
      <c r="KT36" s="13"/>
      <c r="KU36" s="13"/>
      <c r="KV36" s="13"/>
      <c r="KW36" s="13"/>
      <c r="KX36" s="13"/>
      <c r="KY36" s="13"/>
      <c r="KZ36" s="13"/>
      <c r="LA36" s="13"/>
      <c r="LB36" s="13"/>
      <c r="LC36" s="13"/>
      <c r="LD36" s="13"/>
      <c r="LE36" s="13"/>
      <c r="LF36" s="13"/>
      <c r="LG36" s="13"/>
      <c r="LH36" s="13"/>
      <c r="LI36" s="13"/>
      <c r="LJ36" s="13"/>
      <c r="LK36" s="9"/>
      <c r="LL36" s="13"/>
      <c r="LM36" s="13"/>
      <c r="LN36" s="13"/>
      <c r="LO36" s="13"/>
      <c r="LP36" s="13"/>
      <c r="LQ36" s="13"/>
      <c r="LR36" s="13"/>
      <c r="LS36" s="13"/>
      <c r="LT36" s="13"/>
      <c r="LU36" s="13"/>
      <c r="LV36" s="13"/>
      <c r="LW36" s="13"/>
      <c r="LX36" s="13"/>
      <c r="LY36" s="13"/>
      <c r="LZ36" s="13"/>
      <c r="MA36" s="13"/>
      <c r="MB36" s="13"/>
      <c r="MC36" s="13"/>
      <c r="MD36" s="13"/>
      <c r="ME36" s="13"/>
      <c r="MF36" s="13"/>
      <c r="MG36" s="13"/>
      <c r="MH36" s="13"/>
      <c r="MI36" s="13"/>
      <c r="MJ36" s="13"/>
      <c r="MK36" s="13"/>
      <c r="ML36" s="13"/>
      <c r="MM36" s="13"/>
      <c r="MN36" s="13"/>
      <c r="MO36" s="13"/>
      <c r="MP36" s="13"/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9"/>
      <c r="NH36" s="13"/>
      <c r="NI36" s="13"/>
      <c r="NJ36" s="13"/>
      <c r="NK36" s="13"/>
      <c r="NL36" s="13"/>
      <c r="NM36" s="13"/>
      <c r="NN36" s="13"/>
      <c r="NO36" s="13"/>
      <c r="NP36" s="13"/>
      <c r="NQ36" s="13"/>
      <c r="NR36" s="13"/>
      <c r="NS36" s="13"/>
      <c r="NT36" s="13"/>
      <c r="NU36" s="13"/>
      <c r="NV36" s="13"/>
      <c r="NW36" s="13"/>
      <c r="NX36" s="13"/>
      <c r="NY36" s="13"/>
      <c r="NZ36" s="13"/>
      <c r="OA36" s="13"/>
      <c r="OB36" s="13"/>
      <c r="OC36" s="13"/>
      <c r="OD36" s="13"/>
      <c r="OE36" s="13"/>
      <c r="OF36" s="13"/>
      <c r="OG36" s="13"/>
      <c r="OH36" s="13"/>
      <c r="OI36" s="13"/>
      <c r="OJ36" s="13"/>
      <c r="OK36" s="13"/>
      <c r="OL36" s="13"/>
      <c r="OM36" s="13"/>
      <c r="ON36" s="13"/>
      <c r="OO36" s="13"/>
      <c r="OP36" s="13"/>
      <c r="OQ36" s="13"/>
      <c r="OR36" s="13"/>
      <c r="OS36" s="13"/>
      <c r="OT36" s="13"/>
      <c r="OU36" s="13"/>
      <c r="OV36" s="13"/>
      <c r="OW36" s="13"/>
      <c r="OX36" s="13"/>
      <c r="OY36" s="13"/>
      <c r="OZ36" s="13"/>
      <c r="PA36" s="9"/>
      <c r="PB36" s="13"/>
      <c r="PC36" s="13"/>
      <c r="PD36" s="13"/>
      <c r="PE36" s="13"/>
      <c r="PF36" s="13"/>
      <c r="PG36" s="13"/>
      <c r="PH36" s="13"/>
      <c r="PI36" s="13"/>
      <c r="PJ36" s="13"/>
      <c r="PK36" s="13"/>
      <c r="PL36" s="13"/>
      <c r="PM36" s="13"/>
      <c r="PN36" s="13"/>
      <c r="PO36" s="13"/>
      <c r="PP36" s="13"/>
      <c r="PQ36" s="13"/>
      <c r="PR36" s="13"/>
      <c r="PS36" s="13"/>
      <c r="PT36" s="13"/>
      <c r="PU36" s="13"/>
      <c r="PV36" s="13"/>
      <c r="PW36" s="13"/>
      <c r="PX36" s="13"/>
      <c r="PY36" s="13"/>
      <c r="PZ36" s="13"/>
      <c r="QA36" s="13"/>
      <c r="QB36" s="13"/>
      <c r="QC36" s="13"/>
      <c r="QD36" s="13"/>
      <c r="QE36" s="13"/>
      <c r="QF36" s="13"/>
      <c r="QG36" s="13"/>
      <c r="QH36" s="13"/>
      <c r="QI36" s="13"/>
      <c r="QJ36" s="13"/>
      <c r="QK36" s="9"/>
      <c r="QL36" s="13"/>
      <c r="QM36" s="13"/>
      <c r="QN36" s="13"/>
      <c r="QO36" s="13"/>
      <c r="QP36" s="13"/>
      <c r="QQ36" s="13"/>
      <c r="QR36" s="13"/>
      <c r="QS36" s="13"/>
      <c r="QT36" s="13"/>
      <c r="QU36" s="13"/>
      <c r="QV36" s="13"/>
      <c r="QW36" s="13"/>
      <c r="QX36" s="13"/>
      <c r="QY36" s="13"/>
      <c r="QZ36" s="13"/>
      <c r="RA36" s="13"/>
      <c r="RB36" s="13"/>
      <c r="RC36" s="13"/>
      <c r="RD36" s="13"/>
      <c r="RE36" s="13"/>
      <c r="RF36" s="13"/>
      <c r="RG36" s="13"/>
      <c r="RH36" s="13"/>
      <c r="RI36" s="13"/>
      <c r="RJ36" s="13"/>
      <c r="RK36" s="13"/>
      <c r="RL36" s="13"/>
      <c r="RM36" s="13"/>
    </row>
    <row x14ac:dyDescent="0.25" r="37" customHeight="1" ht="18" customFormat="1" s="8">
      <c r="A37" s="9" t="s">
        <v>850</v>
      </c>
      <c r="B37" s="12">
        <v>0</v>
      </c>
      <c r="C37" s="12">
        <v>0</v>
      </c>
      <c r="D37" s="12">
        <v>0</v>
      </c>
      <c r="E37" s="12">
        <v>58560</v>
      </c>
      <c r="F37" s="12">
        <v>58560</v>
      </c>
      <c r="G37" s="12">
        <v>29280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1668960</v>
      </c>
      <c r="Q37" s="12">
        <v>1668960</v>
      </c>
      <c r="R37" s="12">
        <v>834480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0" t="s">
        <v>112</v>
      </c>
      <c r="Y37" s="10" t="s">
        <v>112</v>
      </c>
      <c r="Z37" s="10" t="s">
        <v>112</v>
      </c>
      <c r="AA37" s="10" t="s">
        <v>851</v>
      </c>
      <c r="AB37" s="10" t="s">
        <v>851</v>
      </c>
      <c r="AC37" s="11" t="s">
        <v>852</v>
      </c>
      <c r="AD37" s="10" t="s">
        <v>112</v>
      </c>
      <c r="AE37" s="10" t="s">
        <v>112</v>
      </c>
      <c r="AF37" s="10" t="s">
        <v>112</v>
      </c>
      <c r="AG37" s="10" t="s">
        <v>112</v>
      </c>
      <c r="AH37" s="10" t="s">
        <v>112</v>
      </c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9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9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9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9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9"/>
      <c r="JL37" s="13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3"/>
      <c r="KG37" s="13"/>
      <c r="KH37" s="13"/>
      <c r="KI37" s="13"/>
      <c r="KJ37" s="13"/>
      <c r="KK37" s="13"/>
      <c r="KL37" s="13"/>
      <c r="KM37" s="13"/>
      <c r="KN37" s="13"/>
      <c r="KO37" s="13"/>
      <c r="KP37" s="13"/>
      <c r="KQ37" s="13"/>
      <c r="KR37" s="13"/>
      <c r="KS37" s="13"/>
      <c r="KT37" s="13"/>
      <c r="KU37" s="13"/>
      <c r="KV37" s="13"/>
      <c r="KW37" s="13"/>
      <c r="KX37" s="13"/>
      <c r="KY37" s="13"/>
      <c r="KZ37" s="13"/>
      <c r="LA37" s="13"/>
      <c r="LB37" s="13"/>
      <c r="LC37" s="13"/>
      <c r="LD37" s="13"/>
      <c r="LE37" s="13"/>
      <c r="LF37" s="13"/>
      <c r="LG37" s="13"/>
      <c r="LH37" s="13"/>
      <c r="LI37" s="13"/>
      <c r="LJ37" s="13"/>
      <c r="LK37" s="9"/>
      <c r="LL37" s="13"/>
      <c r="LM37" s="13"/>
      <c r="LN37" s="13"/>
      <c r="LO37" s="13"/>
      <c r="LP37" s="13"/>
      <c r="LQ37" s="13"/>
      <c r="LR37" s="13"/>
      <c r="LS37" s="13"/>
      <c r="LT37" s="13"/>
      <c r="LU37" s="13"/>
      <c r="LV37" s="13"/>
      <c r="LW37" s="13"/>
      <c r="LX37" s="13"/>
      <c r="LY37" s="13"/>
      <c r="LZ37" s="13"/>
      <c r="MA37" s="13"/>
      <c r="MB37" s="13"/>
      <c r="MC37" s="13"/>
      <c r="MD37" s="13"/>
      <c r="ME37" s="13"/>
      <c r="MF37" s="13"/>
      <c r="MG37" s="13"/>
      <c r="MH37" s="13"/>
      <c r="MI37" s="13"/>
      <c r="MJ37" s="13"/>
      <c r="MK37" s="13"/>
      <c r="ML37" s="13"/>
      <c r="MM37" s="13"/>
      <c r="MN37" s="13"/>
      <c r="MO37" s="13"/>
      <c r="MP37" s="13"/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9"/>
      <c r="NH37" s="13"/>
      <c r="NI37" s="13"/>
      <c r="NJ37" s="13"/>
      <c r="NK37" s="13"/>
      <c r="NL37" s="13"/>
      <c r="NM37" s="13"/>
      <c r="NN37" s="13"/>
      <c r="NO37" s="13"/>
      <c r="NP37" s="13"/>
      <c r="NQ37" s="13"/>
      <c r="NR37" s="13"/>
      <c r="NS37" s="13"/>
      <c r="NT37" s="13"/>
      <c r="NU37" s="13"/>
      <c r="NV37" s="13"/>
      <c r="NW37" s="13"/>
      <c r="NX37" s="13"/>
      <c r="NY37" s="13"/>
      <c r="NZ37" s="13"/>
      <c r="OA37" s="13"/>
      <c r="OB37" s="13"/>
      <c r="OC37" s="13"/>
      <c r="OD37" s="13"/>
      <c r="OE37" s="13"/>
      <c r="OF37" s="13"/>
      <c r="OG37" s="13"/>
      <c r="OH37" s="13"/>
      <c r="OI37" s="13"/>
      <c r="OJ37" s="13"/>
      <c r="OK37" s="13"/>
      <c r="OL37" s="13"/>
      <c r="OM37" s="13"/>
      <c r="ON37" s="13"/>
      <c r="OO37" s="13"/>
      <c r="OP37" s="13"/>
      <c r="OQ37" s="13"/>
      <c r="OR37" s="13"/>
      <c r="OS37" s="13"/>
      <c r="OT37" s="13"/>
      <c r="OU37" s="13"/>
      <c r="OV37" s="13"/>
      <c r="OW37" s="13"/>
      <c r="OX37" s="13"/>
      <c r="OY37" s="13"/>
      <c r="OZ37" s="13"/>
      <c r="PA37" s="9"/>
      <c r="PB37" s="13"/>
      <c r="PC37" s="13"/>
      <c r="PD37" s="13"/>
      <c r="PE37" s="13"/>
      <c r="PF37" s="13"/>
      <c r="PG37" s="13"/>
      <c r="PH37" s="13"/>
      <c r="PI37" s="13"/>
      <c r="PJ37" s="13"/>
      <c r="PK37" s="13"/>
      <c r="PL37" s="13"/>
      <c r="PM37" s="13"/>
      <c r="PN37" s="13"/>
      <c r="PO37" s="13"/>
      <c r="PP37" s="13"/>
      <c r="PQ37" s="13"/>
      <c r="PR37" s="13"/>
      <c r="PS37" s="13"/>
      <c r="PT37" s="13"/>
      <c r="PU37" s="13"/>
      <c r="PV37" s="13"/>
      <c r="PW37" s="13"/>
      <c r="PX37" s="13"/>
      <c r="PY37" s="13"/>
      <c r="PZ37" s="13"/>
      <c r="QA37" s="13"/>
      <c r="QB37" s="13"/>
      <c r="QC37" s="13"/>
      <c r="QD37" s="13"/>
      <c r="QE37" s="13"/>
      <c r="QF37" s="13"/>
      <c r="QG37" s="13"/>
      <c r="QH37" s="13"/>
      <c r="QI37" s="13"/>
      <c r="QJ37" s="13"/>
      <c r="QK37" s="9"/>
      <c r="QL37" s="13"/>
      <c r="QM37" s="13"/>
      <c r="QN37" s="13"/>
      <c r="QO37" s="13"/>
      <c r="QP37" s="13"/>
      <c r="QQ37" s="13"/>
      <c r="QR37" s="13"/>
      <c r="QS37" s="13"/>
      <c r="QT37" s="13"/>
      <c r="QU37" s="13"/>
      <c r="QV37" s="13"/>
      <c r="QW37" s="13"/>
      <c r="QX37" s="13"/>
      <c r="QY37" s="13"/>
      <c r="QZ37" s="13"/>
      <c r="RA37" s="13"/>
      <c r="RB37" s="13"/>
      <c r="RC37" s="13"/>
      <c r="RD37" s="13"/>
      <c r="RE37" s="13"/>
      <c r="RF37" s="13"/>
      <c r="RG37" s="13"/>
      <c r="RH37" s="13"/>
      <c r="RI37" s="13"/>
      <c r="RJ37" s="13"/>
      <c r="RK37" s="13"/>
      <c r="RL37" s="13"/>
      <c r="RM37" s="13"/>
    </row>
    <row x14ac:dyDescent="0.25" r="38" customHeight="1" ht="18">
      <c r="A38" s="1"/>
      <c r="B38" s="13"/>
      <c r="C38" s="17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9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9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9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9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9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9"/>
      <c r="JL38" s="13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3"/>
      <c r="KG38" s="13"/>
      <c r="KH38" s="13"/>
      <c r="KI38" s="13"/>
      <c r="KJ38" s="13"/>
      <c r="KK38" s="13"/>
      <c r="KL38" s="13"/>
      <c r="KM38" s="13"/>
      <c r="KN38" s="13"/>
      <c r="KO38" s="13"/>
      <c r="KP38" s="13"/>
      <c r="KQ38" s="13"/>
      <c r="KR38" s="13"/>
      <c r="KS38" s="13"/>
      <c r="KT38" s="13"/>
      <c r="KU38" s="13"/>
      <c r="KV38" s="13"/>
      <c r="KW38" s="13"/>
      <c r="KX38" s="13"/>
      <c r="KY38" s="13"/>
      <c r="KZ38" s="13"/>
      <c r="LA38" s="13"/>
      <c r="LB38" s="13"/>
      <c r="LC38" s="13"/>
      <c r="LD38" s="13"/>
      <c r="LE38" s="13"/>
      <c r="LF38" s="13"/>
      <c r="LG38" s="13"/>
      <c r="LH38" s="13"/>
      <c r="LI38" s="13"/>
      <c r="LJ38" s="13"/>
      <c r="LK38" s="9"/>
      <c r="LL38" s="13"/>
      <c r="LM38" s="13"/>
      <c r="LN38" s="13"/>
      <c r="LO38" s="13"/>
      <c r="LP38" s="13"/>
      <c r="LQ38" s="13"/>
      <c r="LR38" s="13"/>
      <c r="LS38" s="13"/>
      <c r="LT38" s="13"/>
      <c r="LU38" s="13"/>
      <c r="LV38" s="13"/>
      <c r="LW38" s="13"/>
      <c r="LX38" s="13"/>
      <c r="LY38" s="13"/>
      <c r="LZ38" s="13"/>
      <c r="MA38" s="13"/>
      <c r="MB38" s="13"/>
      <c r="MC38" s="13"/>
      <c r="MD38" s="13"/>
      <c r="ME38" s="13"/>
      <c r="MF38" s="13"/>
      <c r="MG38" s="13"/>
      <c r="MH38" s="13"/>
      <c r="MI38" s="13"/>
      <c r="MJ38" s="13"/>
      <c r="MK38" s="13"/>
      <c r="ML38" s="13"/>
      <c r="MM38" s="13"/>
      <c r="MN38" s="13"/>
      <c r="MO38" s="13"/>
      <c r="MP38" s="13"/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9"/>
      <c r="NH38" s="13"/>
      <c r="NI38" s="13"/>
      <c r="NJ38" s="13"/>
      <c r="NK38" s="13"/>
      <c r="NL38" s="13"/>
      <c r="NM38" s="13"/>
      <c r="NN38" s="13"/>
      <c r="NO38" s="13"/>
      <c r="NP38" s="13"/>
      <c r="NQ38" s="13"/>
      <c r="NR38" s="13"/>
      <c r="NS38" s="13"/>
      <c r="NT38" s="13"/>
      <c r="NU38" s="13"/>
      <c r="NV38" s="13"/>
      <c r="NW38" s="13"/>
      <c r="NX38" s="13"/>
      <c r="NY38" s="13"/>
      <c r="NZ38" s="13"/>
      <c r="OA38" s="13"/>
      <c r="OB38" s="13"/>
      <c r="OC38" s="13"/>
      <c r="OD38" s="13"/>
      <c r="OE38" s="13"/>
      <c r="OF38" s="13"/>
      <c r="OG38" s="13"/>
      <c r="OH38" s="13"/>
      <c r="OI38" s="13"/>
      <c r="OJ38" s="13"/>
      <c r="OK38" s="13"/>
      <c r="OL38" s="13"/>
      <c r="OM38" s="13"/>
      <c r="ON38" s="13"/>
      <c r="OO38" s="13"/>
      <c r="OP38" s="13"/>
      <c r="OQ38" s="13"/>
      <c r="OR38" s="13"/>
      <c r="OS38" s="13"/>
      <c r="OT38" s="13"/>
      <c r="OU38" s="13"/>
      <c r="OV38" s="13"/>
      <c r="OW38" s="13"/>
      <c r="OX38" s="13"/>
      <c r="OY38" s="13"/>
      <c r="OZ38" s="13"/>
      <c r="PA38" s="9"/>
      <c r="PB38" s="13"/>
      <c r="PC38" s="13"/>
      <c r="PD38" s="13"/>
      <c r="PE38" s="13"/>
      <c r="PF38" s="13"/>
      <c r="PG38" s="13"/>
      <c r="PH38" s="13"/>
      <c r="PI38" s="13"/>
      <c r="PJ38" s="13"/>
      <c r="PK38" s="13"/>
      <c r="PL38" s="13"/>
      <c r="PM38" s="13"/>
      <c r="PN38" s="13"/>
      <c r="PO38" s="13"/>
      <c r="PP38" s="13"/>
      <c r="PQ38" s="13"/>
      <c r="PR38" s="13"/>
      <c r="PS38" s="13"/>
      <c r="PT38" s="13"/>
      <c r="PU38" s="13"/>
      <c r="PV38" s="13"/>
      <c r="PW38" s="13"/>
      <c r="PX38" s="13"/>
      <c r="PY38" s="13"/>
      <c r="PZ38" s="13"/>
      <c r="QA38" s="13"/>
      <c r="QB38" s="13"/>
      <c r="QC38" s="13"/>
      <c r="QD38" s="13"/>
      <c r="QE38" s="13"/>
      <c r="QF38" s="13"/>
      <c r="QG38" s="13"/>
      <c r="QH38" s="13"/>
      <c r="QI38" s="13"/>
      <c r="QJ38" s="13"/>
      <c r="QK38" s="9"/>
      <c r="QL38" s="13"/>
      <c r="QM38" s="13"/>
      <c r="QN38" s="13"/>
      <c r="QO38" s="13"/>
      <c r="QP38" s="13"/>
      <c r="QQ38" s="13"/>
      <c r="QR38" s="13"/>
      <c r="QS38" s="13"/>
      <c r="QT38" s="13"/>
      <c r="QU38" s="13"/>
      <c r="QV38" s="13"/>
      <c r="QW38" s="13"/>
      <c r="QX38" s="13"/>
      <c r="QY38" s="13"/>
      <c r="QZ38" s="13"/>
      <c r="RA38" s="13"/>
      <c r="RB38" s="13"/>
      <c r="RC38" s="13"/>
      <c r="RD38" s="13"/>
      <c r="RE38" s="13"/>
      <c r="RF38" s="13"/>
      <c r="RG38" s="13"/>
      <c r="RH38" s="13"/>
      <c r="RI38" s="13"/>
      <c r="RJ38" s="13"/>
      <c r="RK38" s="13"/>
      <c r="RL38" s="13"/>
      <c r="RM38" s="13"/>
    </row>
    <row x14ac:dyDescent="0.25" r="39" customHeight="1" ht="18">
      <c r="A39" s="1" t="s">
        <v>0</v>
      </c>
      <c r="B39" s="13"/>
      <c r="C39" s="1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9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9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9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9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9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9"/>
      <c r="JL39" s="13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3"/>
      <c r="KG39" s="13"/>
      <c r="KH39" s="13"/>
      <c r="KI39" s="13"/>
      <c r="KJ39" s="13"/>
      <c r="KK39" s="13"/>
      <c r="KL39" s="13"/>
      <c r="KM39" s="13"/>
      <c r="KN39" s="13"/>
      <c r="KO39" s="13"/>
      <c r="KP39" s="13"/>
      <c r="KQ39" s="13"/>
      <c r="KR39" s="13"/>
      <c r="KS39" s="13"/>
      <c r="KT39" s="13"/>
      <c r="KU39" s="13"/>
      <c r="KV39" s="13"/>
      <c r="KW39" s="13"/>
      <c r="KX39" s="13"/>
      <c r="KY39" s="13"/>
      <c r="KZ39" s="13"/>
      <c r="LA39" s="13"/>
      <c r="LB39" s="13"/>
      <c r="LC39" s="13"/>
      <c r="LD39" s="13"/>
      <c r="LE39" s="13"/>
      <c r="LF39" s="13"/>
      <c r="LG39" s="13"/>
      <c r="LH39" s="13"/>
      <c r="LI39" s="13"/>
      <c r="LJ39" s="13"/>
      <c r="LK39" s="9"/>
      <c r="LL39" s="13"/>
      <c r="LM39" s="13"/>
      <c r="LN39" s="13"/>
      <c r="LO39" s="13"/>
      <c r="LP39" s="13"/>
      <c r="LQ39" s="13"/>
      <c r="LR39" s="13"/>
      <c r="LS39" s="13"/>
      <c r="LT39" s="13"/>
      <c r="LU39" s="13"/>
      <c r="LV39" s="13"/>
      <c r="LW39" s="13"/>
      <c r="LX39" s="13"/>
      <c r="LY39" s="13"/>
      <c r="LZ39" s="13"/>
      <c r="MA39" s="13"/>
      <c r="MB39" s="13"/>
      <c r="MC39" s="13"/>
      <c r="MD39" s="13"/>
      <c r="ME39" s="13"/>
      <c r="MF39" s="13"/>
      <c r="MG39" s="13"/>
      <c r="MH39" s="13"/>
      <c r="MI39" s="13"/>
      <c r="MJ39" s="13"/>
      <c r="MK39" s="13"/>
      <c r="ML39" s="13"/>
      <c r="MM39" s="13"/>
      <c r="MN39" s="13"/>
      <c r="MO39" s="13"/>
      <c r="MP39" s="13"/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9"/>
      <c r="NH39" s="13"/>
      <c r="NI39" s="13"/>
      <c r="NJ39" s="13"/>
      <c r="NK39" s="13"/>
      <c r="NL39" s="13"/>
      <c r="NM39" s="13"/>
      <c r="NN39" s="13"/>
      <c r="NO39" s="13"/>
      <c r="NP39" s="13"/>
      <c r="NQ39" s="13"/>
      <c r="NR39" s="13"/>
      <c r="NS39" s="13"/>
      <c r="NT39" s="13"/>
      <c r="NU39" s="13"/>
      <c r="NV39" s="13"/>
      <c r="NW39" s="13"/>
      <c r="NX39" s="13"/>
      <c r="NY39" s="13"/>
      <c r="NZ39" s="13"/>
      <c r="OA39" s="13"/>
      <c r="OB39" s="13"/>
      <c r="OC39" s="13"/>
      <c r="OD39" s="13"/>
      <c r="OE39" s="13"/>
      <c r="OF39" s="13"/>
      <c r="OG39" s="13"/>
      <c r="OH39" s="13"/>
      <c r="OI39" s="13"/>
      <c r="OJ39" s="13"/>
      <c r="OK39" s="13"/>
      <c r="OL39" s="13"/>
      <c r="OM39" s="13"/>
      <c r="ON39" s="13"/>
      <c r="OO39" s="13"/>
      <c r="OP39" s="13"/>
      <c r="OQ39" s="13"/>
      <c r="OR39" s="13"/>
      <c r="OS39" s="13"/>
      <c r="OT39" s="13"/>
      <c r="OU39" s="13"/>
      <c r="OV39" s="13"/>
      <c r="OW39" s="13"/>
      <c r="OX39" s="13"/>
      <c r="OY39" s="13"/>
      <c r="OZ39" s="13"/>
      <c r="PA39" s="9"/>
      <c r="PB39" s="13"/>
      <c r="PC39" s="13"/>
      <c r="PD39" s="13"/>
      <c r="PE39" s="13"/>
      <c r="PF39" s="13"/>
      <c r="PG39" s="13"/>
      <c r="PH39" s="13"/>
      <c r="PI39" s="13"/>
      <c r="PJ39" s="13"/>
      <c r="PK39" s="13"/>
      <c r="PL39" s="13"/>
      <c r="PM39" s="13"/>
      <c r="PN39" s="13"/>
      <c r="PO39" s="13"/>
      <c r="PP39" s="13"/>
      <c r="PQ39" s="13"/>
      <c r="PR39" s="13"/>
      <c r="PS39" s="13"/>
      <c r="PT39" s="13"/>
      <c r="PU39" s="13"/>
      <c r="PV39" s="13"/>
      <c r="PW39" s="13"/>
      <c r="PX39" s="13"/>
      <c r="PY39" s="13"/>
      <c r="PZ39" s="13"/>
      <c r="QA39" s="13"/>
      <c r="QB39" s="13"/>
      <c r="QC39" s="13"/>
      <c r="QD39" s="13"/>
      <c r="QE39" s="13"/>
      <c r="QF39" s="13"/>
      <c r="QG39" s="13"/>
      <c r="QH39" s="13"/>
      <c r="QI39" s="13"/>
      <c r="QJ39" s="13"/>
      <c r="QK39" s="9"/>
      <c r="QL39" s="13"/>
      <c r="QM39" s="13"/>
      <c r="QN39" s="13"/>
      <c r="QO39" s="13"/>
      <c r="QP39" s="13"/>
      <c r="QQ39" s="13"/>
      <c r="QR39" s="13"/>
      <c r="QS39" s="13"/>
      <c r="QT39" s="13"/>
      <c r="QU39" s="13"/>
      <c r="QV39" s="13"/>
      <c r="QW39" s="13"/>
      <c r="QX39" s="13"/>
      <c r="QY39" s="13"/>
      <c r="QZ39" s="13"/>
      <c r="RA39" s="13"/>
      <c r="RB39" s="13"/>
      <c r="RC39" s="13"/>
      <c r="RD39" s="13"/>
      <c r="RE39" s="13"/>
      <c r="RF39" s="13"/>
      <c r="RG39" s="13"/>
      <c r="RH39" s="13"/>
      <c r="RI39" s="13"/>
      <c r="RJ39" s="13"/>
      <c r="RK39" s="13"/>
      <c r="RL39" s="13"/>
      <c r="RM39" s="13"/>
    </row>
    <row x14ac:dyDescent="0.25" r="40" customHeight="1" ht="18" customFormat="1" s="8">
      <c r="A40" s="9" t="s">
        <v>769</v>
      </c>
      <c r="B40" s="13"/>
      <c r="C40" s="18">
        <f>IFERROR(N22/C22,0)</f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9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9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9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9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9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9"/>
      <c r="JL40" s="13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3"/>
      <c r="KG40" s="13"/>
      <c r="KH40" s="13"/>
      <c r="KI40" s="13"/>
      <c r="KJ40" s="13"/>
      <c r="KK40" s="13"/>
      <c r="KL40" s="13"/>
      <c r="KM40" s="13"/>
      <c r="KN40" s="13"/>
      <c r="KO40" s="13"/>
      <c r="KP40" s="13"/>
      <c r="KQ40" s="13"/>
      <c r="KR40" s="13"/>
      <c r="KS40" s="13"/>
      <c r="KT40" s="13"/>
      <c r="KU40" s="13"/>
      <c r="KV40" s="13"/>
      <c r="KW40" s="13"/>
      <c r="KX40" s="13"/>
      <c r="KY40" s="13"/>
      <c r="KZ40" s="13"/>
      <c r="LA40" s="13"/>
      <c r="LB40" s="13"/>
      <c r="LC40" s="13"/>
      <c r="LD40" s="13"/>
      <c r="LE40" s="13"/>
      <c r="LF40" s="13"/>
      <c r="LG40" s="13"/>
      <c r="LH40" s="13"/>
      <c r="LI40" s="13"/>
      <c r="LJ40" s="13"/>
      <c r="LK40" s="9"/>
      <c r="LL40" s="13"/>
      <c r="LM40" s="13"/>
      <c r="LN40" s="13"/>
      <c r="LO40" s="13"/>
      <c r="LP40" s="13"/>
      <c r="LQ40" s="13"/>
      <c r="LR40" s="13"/>
      <c r="LS40" s="13"/>
      <c r="LT40" s="13"/>
      <c r="LU40" s="13"/>
      <c r="LV40" s="13"/>
      <c r="LW40" s="13"/>
      <c r="LX40" s="13"/>
      <c r="LY40" s="13"/>
      <c r="LZ40" s="13"/>
      <c r="MA40" s="13"/>
      <c r="MB40" s="13"/>
      <c r="MC40" s="13"/>
      <c r="MD40" s="13"/>
      <c r="ME40" s="13"/>
      <c r="MF40" s="13"/>
      <c r="MG40" s="13"/>
      <c r="MH40" s="13"/>
      <c r="MI40" s="13"/>
      <c r="MJ40" s="13"/>
      <c r="MK40" s="13"/>
      <c r="ML40" s="13"/>
      <c r="MM40" s="13"/>
      <c r="MN40" s="13"/>
      <c r="MO40" s="13"/>
      <c r="MP40" s="13"/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9"/>
      <c r="NH40" s="13"/>
      <c r="NI40" s="13"/>
      <c r="NJ40" s="13"/>
      <c r="NK40" s="13"/>
      <c r="NL40" s="13"/>
      <c r="NM40" s="13"/>
      <c r="NN40" s="13"/>
      <c r="NO40" s="13"/>
      <c r="NP40" s="13"/>
      <c r="NQ40" s="13"/>
      <c r="NR40" s="13"/>
      <c r="NS40" s="13"/>
      <c r="NT40" s="13"/>
      <c r="NU40" s="13"/>
      <c r="NV40" s="13"/>
      <c r="NW40" s="13"/>
      <c r="NX40" s="13"/>
      <c r="NY40" s="13"/>
      <c r="NZ40" s="13"/>
      <c r="OA40" s="13"/>
      <c r="OB40" s="13"/>
      <c r="OC40" s="13"/>
      <c r="OD40" s="13"/>
      <c r="OE40" s="13"/>
      <c r="OF40" s="13"/>
      <c r="OG40" s="13"/>
      <c r="OH40" s="13"/>
      <c r="OI40" s="13"/>
      <c r="OJ40" s="13"/>
      <c r="OK40" s="13"/>
      <c r="OL40" s="13"/>
      <c r="OM40" s="13"/>
      <c r="ON40" s="13"/>
      <c r="OO40" s="13"/>
      <c r="OP40" s="13"/>
      <c r="OQ40" s="13"/>
      <c r="OR40" s="13"/>
      <c r="OS40" s="13"/>
      <c r="OT40" s="13"/>
      <c r="OU40" s="13"/>
      <c r="OV40" s="13"/>
      <c r="OW40" s="13"/>
      <c r="OX40" s="13"/>
      <c r="OY40" s="13"/>
      <c r="OZ40" s="13"/>
      <c r="PA40" s="9"/>
      <c r="PB40" s="13"/>
      <c r="PC40" s="13"/>
      <c r="PD40" s="13"/>
      <c r="PE40" s="13"/>
      <c r="PF40" s="13"/>
      <c r="PG40" s="13"/>
      <c r="PH40" s="13"/>
      <c r="PI40" s="13"/>
      <c r="PJ40" s="13"/>
      <c r="PK40" s="13"/>
      <c r="PL40" s="13"/>
      <c r="PM40" s="13"/>
      <c r="PN40" s="13"/>
      <c r="PO40" s="13"/>
      <c r="PP40" s="13"/>
      <c r="PQ40" s="13"/>
      <c r="PR40" s="13"/>
      <c r="PS40" s="13"/>
      <c r="PT40" s="13"/>
      <c r="PU40" s="13"/>
      <c r="PV40" s="13"/>
      <c r="PW40" s="13"/>
      <c r="PX40" s="13"/>
      <c r="PY40" s="13"/>
      <c r="PZ40" s="13"/>
      <c r="QA40" s="13"/>
      <c r="QB40" s="13"/>
      <c r="QC40" s="13"/>
      <c r="QD40" s="13"/>
      <c r="QE40" s="13"/>
      <c r="QF40" s="13"/>
      <c r="QG40" s="13"/>
      <c r="QH40" s="13"/>
      <c r="QI40" s="13"/>
      <c r="QJ40" s="13"/>
      <c r="QK40" s="9"/>
      <c r="QL40" s="13"/>
      <c r="QM40" s="13"/>
      <c r="QN40" s="13"/>
      <c r="QO40" s="13"/>
      <c r="QP40" s="13"/>
      <c r="QQ40" s="13"/>
      <c r="QR40" s="13"/>
      <c r="QS40" s="13"/>
      <c r="QT40" s="13"/>
      <c r="QU40" s="13"/>
      <c r="QV40" s="13"/>
      <c r="QW40" s="13"/>
      <c r="QX40" s="13"/>
      <c r="QY40" s="13"/>
      <c r="QZ40" s="13"/>
      <c r="RA40" s="13"/>
      <c r="RB40" s="13"/>
      <c r="RC40" s="13"/>
      <c r="RD40" s="13"/>
      <c r="RE40" s="13"/>
      <c r="RF40" s="13"/>
      <c r="RG40" s="13"/>
      <c r="RH40" s="13"/>
      <c r="RI40" s="13"/>
      <c r="RJ40" s="13"/>
      <c r="RK40" s="13"/>
      <c r="RL40" s="13"/>
      <c r="RM40" s="13"/>
    </row>
    <row x14ac:dyDescent="0.25" r="41" customHeight="1" ht="18" customFormat="1" s="8">
      <c r="A41" s="9" t="s">
        <v>781</v>
      </c>
      <c r="B41" s="13"/>
      <c r="C41" s="18">
        <f>IFERROR(N23/C23,0)</f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9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9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9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9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9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9"/>
      <c r="JL41" s="13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3"/>
      <c r="KG41" s="13"/>
      <c r="KH41" s="13"/>
      <c r="KI41" s="13"/>
      <c r="KJ41" s="13"/>
      <c r="KK41" s="13"/>
      <c r="KL41" s="13"/>
      <c r="KM41" s="13"/>
      <c r="KN41" s="13"/>
      <c r="KO41" s="13"/>
      <c r="KP41" s="13"/>
      <c r="KQ41" s="13"/>
      <c r="KR41" s="13"/>
      <c r="KS41" s="13"/>
      <c r="KT41" s="13"/>
      <c r="KU41" s="13"/>
      <c r="KV41" s="13"/>
      <c r="KW41" s="13"/>
      <c r="KX41" s="13"/>
      <c r="KY41" s="13"/>
      <c r="KZ41" s="13"/>
      <c r="LA41" s="13"/>
      <c r="LB41" s="13"/>
      <c r="LC41" s="13"/>
      <c r="LD41" s="13"/>
      <c r="LE41" s="13"/>
      <c r="LF41" s="13"/>
      <c r="LG41" s="13"/>
      <c r="LH41" s="13"/>
      <c r="LI41" s="13"/>
      <c r="LJ41" s="13"/>
      <c r="LK41" s="9"/>
      <c r="LL41" s="13"/>
      <c r="LM41" s="13"/>
      <c r="LN41" s="13"/>
      <c r="LO41" s="13"/>
      <c r="LP41" s="13"/>
      <c r="LQ41" s="13"/>
      <c r="LR41" s="13"/>
      <c r="LS41" s="13"/>
      <c r="LT41" s="13"/>
      <c r="LU41" s="13"/>
      <c r="LV41" s="13"/>
      <c r="LW41" s="13"/>
      <c r="LX41" s="13"/>
      <c r="LY41" s="13"/>
      <c r="LZ41" s="13"/>
      <c r="MA41" s="13"/>
      <c r="MB41" s="13"/>
      <c r="MC41" s="13"/>
      <c r="MD41" s="13"/>
      <c r="ME41" s="13"/>
      <c r="MF41" s="13"/>
      <c r="MG41" s="13"/>
      <c r="MH41" s="13"/>
      <c r="MI41" s="13"/>
      <c r="MJ41" s="13"/>
      <c r="MK41" s="13"/>
      <c r="ML41" s="13"/>
      <c r="MM41" s="13"/>
      <c r="MN41" s="13"/>
      <c r="MO41" s="13"/>
      <c r="MP41" s="13"/>
      <c r="MQ41" s="13"/>
      <c r="MR41" s="13"/>
      <c r="MS41" s="13"/>
      <c r="MT41" s="13"/>
      <c r="MU41" s="13"/>
      <c r="MV41" s="13"/>
      <c r="MW41" s="13"/>
      <c r="MX41" s="13"/>
      <c r="MY41" s="13"/>
      <c r="MZ41" s="13"/>
      <c r="NA41" s="13"/>
      <c r="NB41" s="13"/>
      <c r="NC41" s="13"/>
      <c r="ND41" s="13"/>
      <c r="NE41" s="13"/>
      <c r="NF41" s="13"/>
      <c r="NG41" s="9"/>
      <c r="NH41" s="13"/>
      <c r="NI41" s="13"/>
      <c r="NJ41" s="13"/>
      <c r="NK41" s="13"/>
      <c r="NL41" s="13"/>
      <c r="NM41" s="13"/>
      <c r="NN41" s="13"/>
      <c r="NO41" s="13"/>
      <c r="NP41" s="13"/>
      <c r="NQ41" s="13"/>
      <c r="NR41" s="13"/>
      <c r="NS41" s="13"/>
      <c r="NT41" s="13"/>
      <c r="NU41" s="13"/>
      <c r="NV41" s="13"/>
      <c r="NW41" s="13"/>
      <c r="NX41" s="13"/>
      <c r="NY41" s="13"/>
      <c r="NZ41" s="13"/>
      <c r="OA41" s="13"/>
      <c r="OB41" s="13"/>
      <c r="OC41" s="13"/>
      <c r="OD41" s="13"/>
      <c r="OE41" s="13"/>
      <c r="OF41" s="13"/>
      <c r="OG41" s="13"/>
      <c r="OH41" s="13"/>
      <c r="OI41" s="13"/>
      <c r="OJ41" s="13"/>
      <c r="OK41" s="13"/>
      <c r="OL41" s="13"/>
      <c r="OM41" s="13"/>
      <c r="ON41" s="13"/>
      <c r="OO41" s="13"/>
      <c r="OP41" s="13"/>
      <c r="OQ41" s="13"/>
      <c r="OR41" s="13"/>
      <c r="OS41" s="13"/>
      <c r="OT41" s="13"/>
      <c r="OU41" s="13"/>
      <c r="OV41" s="13"/>
      <c r="OW41" s="13"/>
      <c r="OX41" s="13"/>
      <c r="OY41" s="13"/>
      <c r="OZ41" s="13"/>
      <c r="PA41" s="9"/>
      <c r="PB41" s="13"/>
      <c r="PC41" s="13"/>
      <c r="PD41" s="13"/>
      <c r="PE41" s="13"/>
      <c r="PF41" s="13"/>
      <c r="PG41" s="13"/>
      <c r="PH41" s="13"/>
      <c r="PI41" s="13"/>
      <c r="PJ41" s="13"/>
      <c r="PK41" s="13"/>
      <c r="PL41" s="13"/>
      <c r="PM41" s="13"/>
      <c r="PN41" s="13"/>
      <c r="PO41" s="13"/>
      <c r="PP41" s="13"/>
      <c r="PQ41" s="13"/>
      <c r="PR41" s="13"/>
      <c r="PS41" s="13"/>
      <c r="PT41" s="13"/>
      <c r="PU41" s="13"/>
      <c r="PV41" s="13"/>
      <c r="PW41" s="13"/>
      <c r="PX41" s="13"/>
      <c r="PY41" s="13"/>
      <c r="PZ41" s="13"/>
      <c r="QA41" s="13"/>
      <c r="QB41" s="13"/>
      <c r="QC41" s="13"/>
      <c r="QD41" s="13"/>
      <c r="QE41" s="13"/>
      <c r="QF41" s="13"/>
      <c r="QG41" s="13"/>
      <c r="QH41" s="13"/>
      <c r="QI41" s="13"/>
      <c r="QJ41" s="13"/>
      <c r="QK41" s="9"/>
      <c r="QL41" s="13"/>
      <c r="QM41" s="13"/>
      <c r="QN41" s="13"/>
      <c r="QO41" s="13"/>
      <c r="QP41" s="13"/>
      <c r="QQ41" s="13"/>
      <c r="QR41" s="13"/>
      <c r="QS41" s="13"/>
      <c r="QT41" s="13"/>
      <c r="QU41" s="13"/>
      <c r="QV41" s="13"/>
      <c r="QW41" s="13"/>
      <c r="QX41" s="13"/>
      <c r="QY41" s="13"/>
      <c r="QZ41" s="13"/>
      <c r="RA41" s="13"/>
      <c r="RB41" s="13"/>
      <c r="RC41" s="13"/>
      <c r="RD41" s="13"/>
      <c r="RE41" s="13"/>
      <c r="RF41" s="13"/>
      <c r="RG41" s="13"/>
      <c r="RH41" s="13"/>
      <c r="RI41" s="13"/>
      <c r="RJ41" s="13"/>
      <c r="RK41" s="13"/>
      <c r="RL41" s="13"/>
      <c r="RM41" s="13"/>
    </row>
    <row x14ac:dyDescent="0.25" r="42" customHeight="1" ht="18" customFormat="1" s="8">
      <c r="A42" s="9" t="s">
        <v>784</v>
      </c>
      <c r="B42" s="13"/>
      <c r="C42" s="18">
        <f>IFERROR(N24/C24,0)</f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9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9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9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9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9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9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9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9"/>
      <c r="NH42" s="13"/>
      <c r="NI42" s="13"/>
      <c r="NJ42" s="13"/>
      <c r="NK42" s="13"/>
      <c r="NL42" s="13"/>
      <c r="NM42" s="13"/>
      <c r="NN42" s="13"/>
      <c r="NO42" s="13"/>
      <c r="NP42" s="13"/>
      <c r="NQ42" s="13"/>
      <c r="NR42" s="13"/>
      <c r="NS42" s="13"/>
      <c r="NT42" s="13"/>
      <c r="NU42" s="13"/>
      <c r="NV42" s="13"/>
      <c r="NW42" s="13"/>
      <c r="NX42" s="13"/>
      <c r="NY42" s="13"/>
      <c r="NZ42" s="13"/>
      <c r="OA42" s="13"/>
      <c r="OB42" s="13"/>
      <c r="OC42" s="13"/>
      <c r="OD42" s="13"/>
      <c r="OE42" s="13"/>
      <c r="OF42" s="13"/>
      <c r="OG42" s="13"/>
      <c r="OH42" s="13"/>
      <c r="OI42" s="13"/>
      <c r="OJ42" s="13"/>
      <c r="OK42" s="13"/>
      <c r="OL42" s="13"/>
      <c r="OM42" s="13"/>
      <c r="ON42" s="13"/>
      <c r="OO42" s="13"/>
      <c r="OP42" s="13"/>
      <c r="OQ42" s="13"/>
      <c r="OR42" s="13"/>
      <c r="OS42" s="13"/>
      <c r="OT42" s="13"/>
      <c r="OU42" s="13"/>
      <c r="OV42" s="13"/>
      <c r="OW42" s="13"/>
      <c r="OX42" s="13"/>
      <c r="OY42" s="13"/>
      <c r="OZ42" s="13"/>
      <c r="PA42" s="9"/>
      <c r="PB42" s="13"/>
      <c r="PC42" s="13"/>
      <c r="PD42" s="13"/>
      <c r="PE42" s="13"/>
      <c r="PF42" s="13"/>
      <c r="PG42" s="13"/>
      <c r="PH42" s="13"/>
      <c r="PI42" s="13"/>
      <c r="PJ42" s="13"/>
      <c r="PK42" s="13"/>
      <c r="PL42" s="13"/>
      <c r="PM42" s="13"/>
      <c r="PN42" s="13"/>
      <c r="PO42" s="13"/>
      <c r="PP42" s="13"/>
      <c r="PQ42" s="13"/>
      <c r="PR42" s="13"/>
      <c r="PS42" s="13"/>
      <c r="PT42" s="13"/>
      <c r="PU42" s="13"/>
      <c r="PV42" s="13"/>
      <c r="PW42" s="13"/>
      <c r="PX42" s="13"/>
      <c r="PY42" s="13"/>
      <c r="PZ42" s="13"/>
      <c r="QA42" s="13"/>
      <c r="QB42" s="13"/>
      <c r="QC42" s="13"/>
      <c r="QD42" s="13"/>
      <c r="QE42" s="13"/>
      <c r="QF42" s="13"/>
      <c r="QG42" s="13"/>
      <c r="QH42" s="13"/>
      <c r="QI42" s="13"/>
      <c r="QJ42" s="13"/>
      <c r="QK42" s="9"/>
      <c r="QL42" s="13"/>
      <c r="QM42" s="13"/>
      <c r="QN42" s="13"/>
      <c r="QO42" s="13"/>
      <c r="QP42" s="13"/>
      <c r="QQ42" s="13"/>
      <c r="QR42" s="13"/>
      <c r="QS42" s="13"/>
      <c r="QT42" s="13"/>
      <c r="QU42" s="13"/>
      <c r="QV42" s="13"/>
      <c r="QW42" s="13"/>
      <c r="QX42" s="13"/>
      <c r="QY42" s="13"/>
      <c r="QZ42" s="13"/>
      <c r="RA42" s="13"/>
      <c r="RB42" s="13"/>
      <c r="RC42" s="13"/>
      <c r="RD42" s="13"/>
      <c r="RE42" s="13"/>
      <c r="RF42" s="13"/>
      <c r="RG42" s="13"/>
      <c r="RH42" s="13"/>
      <c r="RI42" s="13"/>
      <c r="RJ42" s="13"/>
      <c r="RK42" s="13"/>
      <c r="RL42" s="13"/>
      <c r="RM42" s="13"/>
    </row>
    <row x14ac:dyDescent="0.25" r="43" customHeight="1" ht="18" customFormat="1" s="8">
      <c r="A43" s="9" t="s">
        <v>792</v>
      </c>
      <c r="B43" s="13"/>
      <c r="C43" s="18">
        <f>IFERROR(N25/C25,0)</f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9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9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9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9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9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9"/>
      <c r="JL43" s="1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3"/>
      <c r="KG43" s="13"/>
      <c r="KH43" s="13"/>
      <c r="KI43" s="13"/>
      <c r="KJ43" s="13"/>
      <c r="KK43" s="13"/>
      <c r="KL43" s="13"/>
      <c r="KM43" s="13"/>
      <c r="KN43" s="13"/>
      <c r="KO43" s="13"/>
      <c r="KP43" s="13"/>
      <c r="KQ43" s="13"/>
      <c r="KR43" s="13"/>
      <c r="KS43" s="13"/>
      <c r="KT43" s="13"/>
      <c r="KU43" s="13"/>
      <c r="KV43" s="13"/>
      <c r="KW43" s="13"/>
      <c r="KX43" s="13"/>
      <c r="KY43" s="13"/>
      <c r="KZ43" s="13"/>
      <c r="LA43" s="13"/>
      <c r="LB43" s="13"/>
      <c r="LC43" s="13"/>
      <c r="LD43" s="13"/>
      <c r="LE43" s="13"/>
      <c r="LF43" s="13"/>
      <c r="LG43" s="13"/>
      <c r="LH43" s="13"/>
      <c r="LI43" s="13"/>
      <c r="LJ43" s="13"/>
      <c r="LK43" s="9"/>
      <c r="LL43" s="13"/>
      <c r="LM43" s="13"/>
      <c r="LN43" s="13"/>
      <c r="LO43" s="13"/>
      <c r="LP43" s="13"/>
      <c r="LQ43" s="13"/>
      <c r="LR43" s="13"/>
      <c r="LS43" s="13"/>
      <c r="LT43" s="13"/>
      <c r="LU43" s="13"/>
      <c r="LV43" s="13"/>
      <c r="LW43" s="13"/>
      <c r="LX43" s="13"/>
      <c r="LY43" s="13"/>
      <c r="LZ43" s="13"/>
      <c r="MA43" s="13"/>
      <c r="MB43" s="13"/>
      <c r="MC43" s="13"/>
      <c r="MD43" s="13"/>
      <c r="ME43" s="13"/>
      <c r="MF43" s="13"/>
      <c r="MG43" s="13"/>
      <c r="MH43" s="13"/>
      <c r="MI43" s="13"/>
      <c r="MJ43" s="13"/>
      <c r="MK43" s="13"/>
      <c r="ML43" s="13"/>
      <c r="MM43" s="13"/>
      <c r="MN43" s="13"/>
      <c r="MO43" s="13"/>
      <c r="MP43" s="13"/>
      <c r="MQ43" s="13"/>
      <c r="MR43" s="13"/>
      <c r="MS43" s="13"/>
      <c r="MT43" s="13"/>
      <c r="MU43" s="13"/>
      <c r="MV43" s="13"/>
      <c r="MW43" s="13"/>
      <c r="MX43" s="13"/>
      <c r="MY43" s="13"/>
      <c r="MZ43" s="13"/>
      <c r="NA43" s="13"/>
      <c r="NB43" s="13"/>
      <c r="NC43" s="13"/>
      <c r="ND43" s="13"/>
      <c r="NE43" s="13"/>
      <c r="NF43" s="13"/>
      <c r="NG43" s="9"/>
      <c r="NH43" s="13"/>
      <c r="NI43" s="13"/>
      <c r="NJ43" s="13"/>
      <c r="NK43" s="13"/>
      <c r="NL43" s="13"/>
      <c r="NM43" s="13"/>
      <c r="NN43" s="13"/>
      <c r="NO43" s="13"/>
      <c r="NP43" s="13"/>
      <c r="NQ43" s="13"/>
      <c r="NR43" s="13"/>
      <c r="NS43" s="13"/>
      <c r="NT43" s="13"/>
      <c r="NU43" s="13"/>
      <c r="NV43" s="13"/>
      <c r="NW43" s="13"/>
      <c r="NX43" s="13"/>
      <c r="NY43" s="13"/>
      <c r="NZ43" s="13"/>
      <c r="OA43" s="13"/>
      <c r="OB43" s="13"/>
      <c r="OC43" s="13"/>
      <c r="OD43" s="13"/>
      <c r="OE43" s="13"/>
      <c r="OF43" s="13"/>
      <c r="OG43" s="13"/>
      <c r="OH43" s="13"/>
      <c r="OI43" s="13"/>
      <c r="OJ43" s="13"/>
      <c r="OK43" s="13"/>
      <c r="OL43" s="13"/>
      <c r="OM43" s="13"/>
      <c r="ON43" s="13"/>
      <c r="OO43" s="13"/>
      <c r="OP43" s="13"/>
      <c r="OQ43" s="13"/>
      <c r="OR43" s="13"/>
      <c r="OS43" s="13"/>
      <c r="OT43" s="13"/>
      <c r="OU43" s="13"/>
      <c r="OV43" s="13"/>
      <c r="OW43" s="13"/>
      <c r="OX43" s="13"/>
      <c r="OY43" s="13"/>
      <c r="OZ43" s="13"/>
      <c r="PA43" s="9"/>
      <c r="PB43" s="13"/>
      <c r="PC43" s="13"/>
      <c r="PD43" s="13"/>
      <c r="PE43" s="13"/>
      <c r="PF43" s="13"/>
      <c r="PG43" s="13"/>
      <c r="PH43" s="13"/>
      <c r="PI43" s="13"/>
      <c r="PJ43" s="13"/>
      <c r="PK43" s="13"/>
      <c r="PL43" s="13"/>
      <c r="PM43" s="13"/>
      <c r="PN43" s="13"/>
      <c r="PO43" s="13"/>
      <c r="PP43" s="13"/>
      <c r="PQ43" s="13"/>
      <c r="PR43" s="13"/>
      <c r="PS43" s="13"/>
      <c r="PT43" s="13"/>
      <c r="PU43" s="13"/>
      <c r="PV43" s="13"/>
      <c r="PW43" s="13"/>
      <c r="PX43" s="13"/>
      <c r="PY43" s="13"/>
      <c r="PZ43" s="13"/>
      <c r="QA43" s="13"/>
      <c r="QB43" s="13"/>
      <c r="QC43" s="13"/>
      <c r="QD43" s="13"/>
      <c r="QE43" s="13"/>
      <c r="QF43" s="13"/>
      <c r="QG43" s="13"/>
      <c r="QH43" s="13"/>
      <c r="QI43" s="13"/>
      <c r="QJ43" s="13"/>
      <c r="QK43" s="9"/>
      <c r="QL43" s="13"/>
      <c r="QM43" s="13"/>
      <c r="QN43" s="13"/>
      <c r="QO43" s="13"/>
      <c r="QP43" s="13"/>
      <c r="QQ43" s="13"/>
      <c r="QR43" s="13"/>
      <c r="QS43" s="13"/>
      <c r="QT43" s="13"/>
      <c r="QU43" s="13"/>
      <c r="QV43" s="13"/>
      <c r="QW43" s="13"/>
      <c r="QX43" s="13"/>
      <c r="QY43" s="13"/>
      <c r="QZ43" s="13"/>
      <c r="RA43" s="13"/>
      <c r="RB43" s="13"/>
      <c r="RC43" s="13"/>
      <c r="RD43" s="13"/>
      <c r="RE43" s="13"/>
      <c r="RF43" s="13"/>
      <c r="RG43" s="13"/>
      <c r="RH43" s="13"/>
      <c r="RI43" s="13"/>
      <c r="RJ43" s="13"/>
      <c r="RK43" s="13"/>
      <c r="RL43" s="13"/>
      <c r="RM43" s="13"/>
    </row>
    <row x14ac:dyDescent="0.25" r="44" customHeight="1" ht="18" customFormat="1" s="8">
      <c r="A44" s="9" t="s">
        <v>802</v>
      </c>
      <c r="B44" s="13"/>
      <c r="C44" s="18">
        <f>IFERROR(N26/C26,0)</f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9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9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9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9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9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9"/>
      <c r="JL44" s="13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3"/>
      <c r="KG44" s="13"/>
      <c r="KH44" s="13"/>
      <c r="KI44" s="13"/>
      <c r="KJ44" s="13"/>
      <c r="KK44" s="13"/>
      <c r="KL44" s="13"/>
      <c r="KM44" s="13"/>
      <c r="KN44" s="13"/>
      <c r="KO44" s="13"/>
      <c r="KP44" s="13"/>
      <c r="KQ44" s="13"/>
      <c r="KR44" s="13"/>
      <c r="KS44" s="13"/>
      <c r="KT44" s="13"/>
      <c r="KU44" s="13"/>
      <c r="KV44" s="13"/>
      <c r="KW44" s="13"/>
      <c r="KX44" s="13"/>
      <c r="KY44" s="13"/>
      <c r="KZ44" s="13"/>
      <c r="LA44" s="13"/>
      <c r="LB44" s="13"/>
      <c r="LC44" s="13"/>
      <c r="LD44" s="13"/>
      <c r="LE44" s="13"/>
      <c r="LF44" s="13"/>
      <c r="LG44" s="13"/>
      <c r="LH44" s="13"/>
      <c r="LI44" s="13"/>
      <c r="LJ44" s="13"/>
      <c r="LK44" s="9"/>
      <c r="LL44" s="13"/>
      <c r="LM44" s="13"/>
      <c r="LN44" s="13"/>
      <c r="LO44" s="13"/>
      <c r="LP44" s="13"/>
      <c r="LQ44" s="13"/>
      <c r="LR44" s="13"/>
      <c r="LS44" s="13"/>
      <c r="LT44" s="13"/>
      <c r="LU44" s="13"/>
      <c r="LV44" s="13"/>
      <c r="LW44" s="13"/>
      <c r="LX44" s="13"/>
      <c r="LY44" s="13"/>
      <c r="LZ44" s="13"/>
      <c r="MA44" s="13"/>
      <c r="MB44" s="13"/>
      <c r="MC44" s="13"/>
      <c r="MD44" s="13"/>
      <c r="ME44" s="13"/>
      <c r="MF44" s="13"/>
      <c r="MG44" s="13"/>
      <c r="MH44" s="13"/>
      <c r="MI44" s="13"/>
      <c r="MJ44" s="13"/>
      <c r="MK44" s="13"/>
      <c r="ML44" s="13"/>
      <c r="MM44" s="13"/>
      <c r="MN44" s="13"/>
      <c r="MO44" s="13"/>
      <c r="MP44" s="13"/>
      <c r="MQ44" s="13"/>
      <c r="MR44" s="13"/>
      <c r="MS44" s="13"/>
      <c r="MT44" s="13"/>
      <c r="MU44" s="13"/>
      <c r="MV44" s="13"/>
      <c r="MW44" s="13"/>
      <c r="MX44" s="13"/>
      <c r="MY44" s="13"/>
      <c r="MZ44" s="13"/>
      <c r="NA44" s="13"/>
      <c r="NB44" s="13"/>
      <c r="NC44" s="13"/>
      <c r="ND44" s="13"/>
      <c r="NE44" s="13"/>
      <c r="NF44" s="13"/>
      <c r="NG44" s="9"/>
      <c r="NH44" s="13"/>
      <c r="NI44" s="13"/>
      <c r="NJ44" s="13"/>
      <c r="NK44" s="13"/>
      <c r="NL44" s="13"/>
      <c r="NM44" s="13"/>
      <c r="NN44" s="13"/>
      <c r="NO44" s="13"/>
      <c r="NP44" s="13"/>
      <c r="NQ44" s="13"/>
      <c r="NR44" s="13"/>
      <c r="NS44" s="13"/>
      <c r="NT44" s="13"/>
      <c r="NU44" s="13"/>
      <c r="NV44" s="13"/>
      <c r="NW44" s="13"/>
      <c r="NX44" s="13"/>
      <c r="NY44" s="13"/>
      <c r="NZ44" s="13"/>
      <c r="OA44" s="13"/>
      <c r="OB44" s="13"/>
      <c r="OC44" s="13"/>
      <c r="OD44" s="13"/>
      <c r="OE44" s="13"/>
      <c r="OF44" s="13"/>
      <c r="OG44" s="13"/>
      <c r="OH44" s="13"/>
      <c r="OI44" s="13"/>
      <c r="OJ44" s="13"/>
      <c r="OK44" s="13"/>
      <c r="OL44" s="13"/>
      <c r="OM44" s="13"/>
      <c r="ON44" s="13"/>
      <c r="OO44" s="13"/>
      <c r="OP44" s="13"/>
      <c r="OQ44" s="13"/>
      <c r="OR44" s="13"/>
      <c r="OS44" s="13"/>
      <c r="OT44" s="13"/>
      <c r="OU44" s="13"/>
      <c r="OV44" s="13"/>
      <c r="OW44" s="13"/>
      <c r="OX44" s="13"/>
      <c r="OY44" s="13"/>
      <c r="OZ44" s="13"/>
      <c r="PA44" s="9"/>
      <c r="PB44" s="13"/>
      <c r="PC44" s="13"/>
      <c r="PD44" s="13"/>
      <c r="PE44" s="13"/>
      <c r="PF44" s="13"/>
      <c r="PG44" s="13"/>
      <c r="PH44" s="13"/>
      <c r="PI44" s="13"/>
      <c r="PJ44" s="13"/>
      <c r="PK44" s="13"/>
      <c r="PL44" s="13"/>
      <c r="PM44" s="13"/>
      <c r="PN44" s="13"/>
      <c r="PO44" s="13"/>
      <c r="PP44" s="13"/>
      <c r="PQ44" s="13"/>
      <c r="PR44" s="13"/>
      <c r="PS44" s="13"/>
      <c r="PT44" s="13"/>
      <c r="PU44" s="13"/>
      <c r="PV44" s="13"/>
      <c r="PW44" s="13"/>
      <c r="PX44" s="13"/>
      <c r="PY44" s="13"/>
      <c r="PZ44" s="13"/>
      <c r="QA44" s="13"/>
      <c r="QB44" s="13"/>
      <c r="QC44" s="13"/>
      <c r="QD44" s="13"/>
      <c r="QE44" s="13"/>
      <c r="QF44" s="13"/>
      <c r="QG44" s="13"/>
      <c r="QH44" s="13"/>
      <c r="QI44" s="13"/>
      <c r="QJ44" s="13"/>
      <c r="QK44" s="9"/>
      <c r="QL44" s="13"/>
      <c r="QM44" s="13"/>
      <c r="QN44" s="13"/>
      <c r="QO44" s="13"/>
      <c r="QP44" s="13"/>
      <c r="QQ44" s="13"/>
      <c r="QR44" s="13"/>
      <c r="QS44" s="13"/>
      <c r="QT44" s="13"/>
      <c r="QU44" s="13"/>
      <c r="QV44" s="13"/>
      <c r="QW44" s="13"/>
      <c r="QX44" s="13"/>
      <c r="QY44" s="13"/>
      <c r="QZ44" s="13"/>
      <c r="RA44" s="13"/>
      <c r="RB44" s="13"/>
      <c r="RC44" s="13"/>
      <c r="RD44" s="13"/>
      <c r="RE44" s="13"/>
      <c r="RF44" s="13"/>
      <c r="RG44" s="13"/>
      <c r="RH44" s="13"/>
      <c r="RI44" s="13"/>
      <c r="RJ44" s="13"/>
      <c r="RK44" s="13"/>
      <c r="RL44" s="13"/>
      <c r="RM44" s="13"/>
    </row>
    <row x14ac:dyDescent="0.25" r="45" customHeight="1" ht="18" customFormat="1" s="8">
      <c r="A45" s="9" t="s">
        <v>809</v>
      </c>
      <c r="B45" s="13"/>
      <c r="C45" s="18">
        <f>IFERROR(N27/C27,0)</f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9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9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9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9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9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9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9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9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9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9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</row>
    <row x14ac:dyDescent="0.25" r="46" customHeight="1" ht="18" customFormat="1" s="8">
      <c r="A46" s="9" t="s">
        <v>812</v>
      </c>
      <c r="B46" s="13"/>
      <c r="C46" s="18">
        <f>IFERROR(N28/C28,0)</f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9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9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9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9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9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9"/>
      <c r="JL46" s="13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3"/>
      <c r="KG46" s="13"/>
      <c r="KH46" s="13"/>
      <c r="KI46" s="13"/>
      <c r="KJ46" s="13"/>
      <c r="KK46" s="13"/>
      <c r="KL46" s="13"/>
      <c r="KM46" s="13"/>
      <c r="KN46" s="13"/>
      <c r="KO46" s="13"/>
      <c r="KP46" s="13"/>
      <c r="KQ46" s="13"/>
      <c r="KR46" s="13"/>
      <c r="KS46" s="13"/>
      <c r="KT46" s="13"/>
      <c r="KU46" s="13"/>
      <c r="KV46" s="13"/>
      <c r="KW46" s="13"/>
      <c r="KX46" s="13"/>
      <c r="KY46" s="13"/>
      <c r="KZ46" s="13"/>
      <c r="LA46" s="13"/>
      <c r="LB46" s="13"/>
      <c r="LC46" s="13"/>
      <c r="LD46" s="13"/>
      <c r="LE46" s="13"/>
      <c r="LF46" s="13"/>
      <c r="LG46" s="13"/>
      <c r="LH46" s="13"/>
      <c r="LI46" s="13"/>
      <c r="LJ46" s="13"/>
      <c r="LK46" s="9"/>
      <c r="LL46" s="13"/>
      <c r="LM46" s="13"/>
      <c r="LN46" s="13"/>
      <c r="LO46" s="13"/>
      <c r="LP46" s="13"/>
      <c r="LQ46" s="13"/>
      <c r="LR46" s="13"/>
      <c r="LS46" s="13"/>
      <c r="LT46" s="13"/>
      <c r="LU46" s="13"/>
      <c r="LV46" s="13"/>
      <c r="LW46" s="13"/>
      <c r="LX46" s="13"/>
      <c r="LY46" s="13"/>
      <c r="LZ46" s="13"/>
      <c r="MA46" s="13"/>
      <c r="MB46" s="13"/>
      <c r="MC46" s="13"/>
      <c r="MD46" s="13"/>
      <c r="ME46" s="13"/>
      <c r="MF46" s="13"/>
      <c r="MG46" s="13"/>
      <c r="MH46" s="13"/>
      <c r="MI46" s="13"/>
      <c r="MJ46" s="13"/>
      <c r="MK46" s="13"/>
      <c r="ML46" s="13"/>
      <c r="MM46" s="13"/>
      <c r="MN46" s="13"/>
      <c r="MO46" s="13"/>
      <c r="MP46" s="13"/>
      <c r="MQ46" s="13"/>
      <c r="MR46" s="13"/>
      <c r="MS46" s="13"/>
      <c r="MT46" s="13"/>
      <c r="MU46" s="13"/>
      <c r="MV46" s="13"/>
      <c r="MW46" s="13"/>
      <c r="MX46" s="13"/>
      <c r="MY46" s="13"/>
      <c r="MZ46" s="13"/>
      <c r="NA46" s="13"/>
      <c r="NB46" s="13"/>
      <c r="NC46" s="13"/>
      <c r="ND46" s="13"/>
      <c r="NE46" s="13"/>
      <c r="NF46" s="13"/>
      <c r="NG46" s="9"/>
      <c r="NH46" s="13"/>
      <c r="NI46" s="13"/>
      <c r="NJ46" s="13"/>
      <c r="NK46" s="13"/>
      <c r="NL46" s="13"/>
      <c r="NM46" s="13"/>
      <c r="NN46" s="13"/>
      <c r="NO46" s="13"/>
      <c r="NP46" s="13"/>
      <c r="NQ46" s="13"/>
      <c r="NR46" s="13"/>
      <c r="NS46" s="13"/>
      <c r="NT46" s="13"/>
      <c r="NU46" s="13"/>
      <c r="NV46" s="13"/>
      <c r="NW46" s="13"/>
      <c r="NX46" s="13"/>
      <c r="NY46" s="13"/>
      <c r="NZ46" s="13"/>
      <c r="OA46" s="13"/>
      <c r="OB46" s="13"/>
      <c r="OC46" s="13"/>
      <c r="OD46" s="13"/>
      <c r="OE46" s="13"/>
      <c r="OF46" s="13"/>
      <c r="OG46" s="13"/>
      <c r="OH46" s="13"/>
      <c r="OI46" s="13"/>
      <c r="OJ46" s="13"/>
      <c r="OK46" s="13"/>
      <c r="OL46" s="13"/>
      <c r="OM46" s="13"/>
      <c r="ON46" s="13"/>
      <c r="OO46" s="13"/>
      <c r="OP46" s="13"/>
      <c r="OQ46" s="13"/>
      <c r="OR46" s="13"/>
      <c r="OS46" s="13"/>
      <c r="OT46" s="13"/>
      <c r="OU46" s="13"/>
      <c r="OV46" s="13"/>
      <c r="OW46" s="13"/>
      <c r="OX46" s="13"/>
      <c r="OY46" s="13"/>
      <c r="OZ46" s="13"/>
      <c r="PA46" s="9"/>
      <c r="PB46" s="13"/>
      <c r="PC46" s="13"/>
      <c r="PD46" s="13"/>
      <c r="PE46" s="13"/>
      <c r="PF46" s="13"/>
      <c r="PG46" s="13"/>
      <c r="PH46" s="13"/>
      <c r="PI46" s="13"/>
      <c r="PJ46" s="13"/>
      <c r="PK46" s="13"/>
      <c r="PL46" s="13"/>
      <c r="PM46" s="13"/>
      <c r="PN46" s="13"/>
      <c r="PO46" s="13"/>
      <c r="PP46" s="13"/>
      <c r="PQ46" s="13"/>
      <c r="PR46" s="13"/>
      <c r="PS46" s="13"/>
      <c r="PT46" s="13"/>
      <c r="PU46" s="13"/>
      <c r="PV46" s="13"/>
      <c r="PW46" s="13"/>
      <c r="PX46" s="13"/>
      <c r="PY46" s="13"/>
      <c r="PZ46" s="13"/>
      <c r="QA46" s="13"/>
      <c r="QB46" s="13"/>
      <c r="QC46" s="13"/>
      <c r="QD46" s="13"/>
      <c r="QE46" s="13"/>
      <c r="QF46" s="13"/>
      <c r="QG46" s="13"/>
      <c r="QH46" s="13"/>
      <c r="QI46" s="13"/>
      <c r="QJ46" s="13"/>
      <c r="QK46" s="9"/>
      <c r="QL46" s="13"/>
      <c r="QM46" s="13"/>
      <c r="QN46" s="13"/>
      <c r="QO46" s="13"/>
      <c r="QP46" s="13"/>
      <c r="QQ46" s="13"/>
      <c r="QR46" s="13"/>
      <c r="QS46" s="13"/>
      <c r="QT46" s="13"/>
      <c r="QU46" s="13"/>
      <c r="QV46" s="13"/>
      <c r="QW46" s="13"/>
      <c r="QX46" s="13"/>
      <c r="QY46" s="13"/>
      <c r="QZ46" s="13"/>
      <c r="RA46" s="13"/>
      <c r="RB46" s="13"/>
      <c r="RC46" s="13"/>
      <c r="RD46" s="13"/>
      <c r="RE46" s="13"/>
      <c r="RF46" s="13"/>
      <c r="RG46" s="13"/>
      <c r="RH46" s="13"/>
      <c r="RI46" s="13"/>
      <c r="RJ46" s="13"/>
      <c r="RK46" s="13"/>
      <c r="RL46" s="13"/>
      <c r="RM46" s="13"/>
    </row>
    <row x14ac:dyDescent="0.25" r="47" customHeight="1" ht="18" customFormat="1" s="8">
      <c r="A47" s="9" t="s">
        <v>815</v>
      </c>
      <c r="B47" s="13"/>
      <c r="C47" s="18">
        <f>IFERROR(N29/C29,0)</f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9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9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9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9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9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9"/>
      <c r="JL47" s="13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3"/>
      <c r="KG47" s="13"/>
      <c r="KH47" s="13"/>
      <c r="KI47" s="13"/>
      <c r="KJ47" s="13"/>
      <c r="KK47" s="13"/>
      <c r="KL47" s="13"/>
      <c r="KM47" s="13"/>
      <c r="KN47" s="13"/>
      <c r="KO47" s="13"/>
      <c r="KP47" s="13"/>
      <c r="KQ47" s="13"/>
      <c r="KR47" s="13"/>
      <c r="KS47" s="13"/>
      <c r="KT47" s="13"/>
      <c r="KU47" s="13"/>
      <c r="KV47" s="13"/>
      <c r="KW47" s="13"/>
      <c r="KX47" s="13"/>
      <c r="KY47" s="13"/>
      <c r="KZ47" s="13"/>
      <c r="LA47" s="13"/>
      <c r="LB47" s="13"/>
      <c r="LC47" s="13"/>
      <c r="LD47" s="13"/>
      <c r="LE47" s="13"/>
      <c r="LF47" s="13"/>
      <c r="LG47" s="13"/>
      <c r="LH47" s="13"/>
      <c r="LI47" s="13"/>
      <c r="LJ47" s="13"/>
      <c r="LK47" s="9"/>
      <c r="LL47" s="13"/>
      <c r="LM47" s="13"/>
      <c r="LN47" s="13"/>
      <c r="LO47" s="13"/>
      <c r="LP47" s="13"/>
      <c r="LQ47" s="13"/>
      <c r="LR47" s="13"/>
      <c r="LS47" s="13"/>
      <c r="LT47" s="13"/>
      <c r="LU47" s="13"/>
      <c r="LV47" s="13"/>
      <c r="LW47" s="13"/>
      <c r="LX47" s="13"/>
      <c r="LY47" s="13"/>
      <c r="LZ47" s="13"/>
      <c r="MA47" s="13"/>
      <c r="MB47" s="13"/>
      <c r="MC47" s="13"/>
      <c r="MD47" s="13"/>
      <c r="ME47" s="13"/>
      <c r="MF47" s="13"/>
      <c r="MG47" s="13"/>
      <c r="MH47" s="13"/>
      <c r="MI47" s="13"/>
      <c r="MJ47" s="13"/>
      <c r="MK47" s="13"/>
      <c r="ML47" s="13"/>
      <c r="MM47" s="13"/>
      <c r="MN47" s="13"/>
      <c r="MO47" s="13"/>
      <c r="MP47" s="13"/>
      <c r="MQ47" s="13"/>
      <c r="MR47" s="13"/>
      <c r="MS47" s="13"/>
      <c r="MT47" s="13"/>
      <c r="MU47" s="13"/>
      <c r="MV47" s="13"/>
      <c r="MW47" s="13"/>
      <c r="MX47" s="13"/>
      <c r="MY47" s="13"/>
      <c r="MZ47" s="13"/>
      <c r="NA47" s="13"/>
      <c r="NB47" s="13"/>
      <c r="NC47" s="13"/>
      <c r="ND47" s="13"/>
      <c r="NE47" s="13"/>
      <c r="NF47" s="13"/>
      <c r="NG47" s="9"/>
      <c r="NH47" s="13"/>
      <c r="NI47" s="13"/>
      <c r="NJ47" s="13"/>
      <c r="NK47" s="13"/>
      <c r="NL47" s="13"/>
      <c r="NM47" s="13"/>
      <c r="NN47" s="13"/>
      <c r="NO47" s="13"/>
      <c r="NP47" s="13"/>
      <c r="NQ47" s="13"/>
      <c r="NR47" s="13"/>
      <c r="NS47" s="13"/>
      <c r="NT47" s="13"/>
      <c r="NU47" s="13"/>
      <c r="NV47" s="13"/>
      <c r="NW47" s="13"/>
      <c r="NX47" s="13"/>
      <c r="NY47" s="13"/>
      <c r="NZ47" s="13"/>
      <c r="OA47" s="13"/>
      <c r="OB47" s="13"/>
      <c r="OC47" s="13"/>
      <c r="OD47" s="13"/>
      <c r="OE47" s="13"/>
      <c r="OF47" s="13"/>
      <c r="OG47" s="13"/>
      <c r="OH47" s="13"/>
      <c r="OI47" s="13"/>
      <c r="OJ47" s="13"/>
      <c r="OK47" s="13"/>
      <c r="OL47" s="13"/>
      <c r="OM47" s="13"/>
      <c r="ON47" s="13"/>
      <c r="OO47" s="13"/>
      <c r="OP47" s="13"/>
      <c r="OQ47" s="13"/>
      <c r="OR47" s="13"/>
      <c r="OS47" s="13"/>
      <c r="OT47" s="13"/>
      <c r="OU47" s="13"/>
      <c r="OV47" s="13"/>
      <c r="OW47" s="13"/>
      <c r="OX47" s="13"/>
      <c r="OY47" s="13"/>
      <c r="OZ47" s="13"/>
      <c r="PA47" s="9"/>
      <c r="PB47" s="13"/>
      <c r="PC47" s="13"/>
      <c r="PD47" s="13"/>
      <c r="PE47" s="13"/>
      <c r="PF47" s="13"/>
      <c r="PG47" s="13"/>
      <c r="PH47" s="13"/>
      <c r="PI47" s="13"/>
      <c r="PJ47" s="13"/>
      <c r="PK47" s="13"/>
      <c r="PL47" s="13"/>
      <c r="PM47" s="13"/>
      <c r="PN47" s="13"/>
      <c r="PO47" s="13"/>
      <c r="PP47" s="13"/>
      <c r="PQ47" s="13"/>
      <c r="PR47" s="13"/>
      <c r="PS47" s="13"/>
      <c r="PT47" s="13"/>
      <c r="PU47" s="13"/>
      <c r="PV47" s="13"/>
      <c r="PW47" s="13"/>
      <c r="PX47" s="13"/>
      <c r="PY47" s="13"/>
      <c r="PZ47" s="13"/>
      <c r="QA47" s="13"/>
      <c r="QB47" s="13"/>
      <c r="QC47" s="13"/>
      <c r="QD47" s="13"/>
      <c r="QE47" s="13"/>
      <c r="QF47" s="13"/>
      <c r="QG47" s="13"/>
      <c r="QH47" s="13"/>
      <c r="QI47" s="13"/>
      <c r="QJ47" s="13"/>
      <c r="QK47" s="9"/>
      <c r="QL47" s="13"/>
      <c r="QM47" s="13"/>
      <c r="QN47" s="13"/>
      <c r="QO47" s="13"/>
      <c r="QP47" s="13"/>
      <c r="QQ47" s="13"/>
      <c r="QR47" s="13"/>
      <c r="QS47" s="13"/>
      <c r="QT47" s="13"/>
      <c r="QU47" s="13"/>
      <c r="QV47" s="13"/>
      <c r="QW47" s="13"/>
      <c r="QX47" s="13"/>
      <c r="QY47" s="13"/>
      <c r="QZ47" s="13"/>
      <c r="RA47" s="13"/>
      <c r="RB47" s="13"/>
      <c r="RC47" s="13"/>
      <c r="RD47" s="13"/>
      <c r="RE47" s="13"/>
      <c r="RF47" s="13"/>
      <c r="RG47" s="13"/>
      <c r="RH47" s="13"/>
      <c r="RI47" s="13"/>
      <c r="RJ47" s="13"/>
      <c r="RK47" s="13"/>
      <c r="RL47" s="13"/>
      <c r="RM47" s="13"/>
    </row>
    <row x14ac:dyDescent="0.25" r="48" customHeight="1" ht="18" customFormat="1" s="8">
      <c r="A48" s="9" t="s">
        <v>825</v>
      </c>
      <c r="B48" s="13"/>
      <c r="C48" s="18">
        <f>IFERROR(N30/C30,0)</f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9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9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9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9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9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9"/>
      <c r="JL48" s="13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3"/>
      <c r="KG48" s="13"/>
      <c r="KH48" s="13"/>
      <c r="KI48" s="13"/>
      <c r="KJ48" s="13"/>
      <c r="KK48" s="13"/>
      <c r="KL48" s="13"/>
      <c r="KM48" s="13"/>
      <c r="KN48" s="13"/>
      <c r="KO48" s="13"/>
      <c r="KP48" s="13"/>
      <c r="KQ48" s="13"/>
      <c r="KR48" s="13"/>
      <c r="KS48" s="13"/>
      <c r="KT48" s="13"/>
      <c r="KU48" s="13"/>
      <c r="KV48" s="13"/>
      <c r="KW48" s="13"/>
      <c r="KX48" s="13"/>
      <c r="KY48" s="13"/>
      <c r="KZ48" s="13"/>
      <c r="LA48" s="13"/>
      <c r="LB48" s="13"/>
      <c r="LC48" s="13"/>
      <c r="LD48" s="13"/>
      <c r="LE48" s="13"/>
      <c r="LF48" s="13"/>
      <c r="LG48" s="13"/>
      <c r="LH48" s="13"/>
      <c r="LI48" s="13"/>
      <c r="LJ48" s="13"/>
      <c r="LK48" s="9"/>
      <c r="LL48" s="13"/>
      <c r="LM48" s="13"/>
      <c r="LN48" s="13"/>
      <c r="LO48" s="13"/>
      <c r="LP48" s="13"/>
      <c r="LQ48" s="13"/>
      <c r="LR48" s="13"/>
      <c r="LS48" s="13"/>
      <c r="LT48" s="13"/>
      <c r="LU48" s="13"/>
      <c r="LV48" s="13"/>
      <c r="LW48" s="13"/>
      <c r="LX48" s="13"/>
      <c r="LY48" s="13"/>
      <c r="LZ48" s="13"/>
      <c r="MA48" s="13"/>
      <c r="MB48" s="13"/>
      <c r="MC48" s="13"/>
      <c r="MD48" s="13"/>
      <c r="ME48" s="13"/>
      <c r="MF48" s="13"/>
      <c r="MG48" s="13"/>
      <c r="MH48" s="13"/>
      <c r="MI48" s="13"/>
      <c r="MJ48" s="13"/>
      <c r="MK48" s="13"/>
      <c r="ML48" s="13"/>
      <c r="MM48" s="13"/>
      <c r="MN48" s="13"/>
      <c r="MO48" s="13"/>
      <c r="MP48" s="13"/>
      <c r="MQ48" s="13"/>
      <c r="MR48" s="13"/>
      <c r="MS48" s="13"/>
      <c r="MT48" s="13"/>
      <c r="MU48" s="13"/>
      <c r="MV48" s="13"/>
      <c r="MW48" s="13"/>
      <c r="MX48" s="13"/>
      <c r="MY48" s="13"/>
      <c r="MZ48" s="13"/>
      <c r="NA48" s="13"/>
      <c r="NB48" s="13"/>
      <c r="NC48" s="13"/>
      <c r="ND48" s="13"/>
      <c r="NE48" s="13"/>
      <c r="NF48" s="13"/>
      <c r="NG48" s="9"/>
      <c r="NH48" s="13"/>
      <c r="NI48" s="13"/>
      <c r="NJ48" s="13"/>
      <c r="NK48" s="13"/>
      <c r="NL48" s="13"/>
      <c r="NM48" s="13"/>
      <c r="NN48" s="13"/>
      <c r="NO48" s="13"/>
      <c r="NP48" s="13"/>
      <c r="NQ48" s="13"/>
      <c r="NR48" s="13"/>
      <c r="NS48" s="13"/>
      <c r="NT48" s="13"/>
      <c r="NU48" s="13"/>
      <c r="NV48" s="13"/>
      <c r="NW48" s="13"/>
      <c r="NX48" s="13"/>
      <c r="NY48" s="13"/>
      <c r="NZ48" s="13"/>
      <c r="OA48" s="13"/>
      <c r="OB48" s="13"/>
      <c r="OC48" s="13"/>
      <c r="OD48" s="13"/>
      <c r="OE48" s="13"/>
      <c r="OF48" s="13"/>
      <c r="OG48" s="13"/>
      <c r="OH48" s="13"/>
      <c r="OI48" s="13"/>
      <c r="OJ48" s="13"/>
      <c r="OK48" s="13"/>
      <c r="OL48" s="13"/>
      <c r="OM48" s="13"/>
      <c r="ON48" s="13"/>
      <c r="OO48" s="13"/>
      <c r="OP48" s="13"/>
      <c r="OQ48" s="13"/>
      <c r="OR48" s="13"/>
      <c r="OS48" s="13"/>
      <c r="OT48" s="13"/>
      <c r="OU48" s="13"/>
      <c r="OV48" s="13"/>
      <c r="OW48" s="13"/>
      <c r="OX48" s="13"/>
      <c r="OY48" s="13"/>
      <c r="OZ48" s="13"/>
      <c r="PA48" s="9"/>
      <c r="PB48" s="13"/>
      <c r="PC48" s="13"/>
      <c r="PD48" s="13"/>
      <c r="PE48" s="13"/>
      <c r="PF48" s="13"/>
      <c r="PG48" s="13"/>
      <c r="PH48" s="13"/>
      <c r="PI48" s="13"/>
      <c r="PJ48" s="13"/>
      <c r="PK48" s="13"/>
      <c r="PL48" s="13"/>
      <c r="PM48" s="13"/>
      <c r="PN48" s="13"/>
      <c r="PO48" s="13"/>
      <c r="PP48" s="13"/>
      <c r="PQ48" s="13"/>
      <c r="PR48" s="13"/>
      <c r="PS48" s="13"/>
      <c r="PT48" s="13"/>
      <c r="PU48" s="13"/>
      <c r="PV48" s="13"/>
      <c r="PW48" s="13"/>
      <c r="PX48" s="13"/>
      <c r="PY48" s="13"/>
      <c r="PZ48" s="13"/>
      <c r="QA48" s="13"/>
      <c r="QB48" s="13"/>
      <c r="QC48" s="13"/>
      <c r="QD48" s="13"/>
      <c r="QE48" s="13"/>
      <c r="QF48" s="13"/>
      <c r="QG48" s="13"/>
      <c r="QH48" s="13"/>
      <c r="QI48" s="13"/>
      <c r="QJ48" s="13"/>
      <c r="QK48" s="9"/>
      <c r="QL48" s="13"/>
      <c r="QM48" s="13"/>
      <c r="QN48" s="13"/>
      <c r="QO48" s="13"/>
      <c r="QP48" s="13"/>
      <c r="QQ48" s="13"/>
      <c r="QR48" s="13"/>
      <c r="QS48" s="13"/>
      <c r="QT48" s="13"/>
      <c r="QU48" s="13"/>
      <c r="QV48" s="13"/>
      <c r="QW48" s="13"/>
      <c r="QX48" s="13"/>
      <c r="QY48" s="13"/>
      <c r="QZ48" s="13"/>
      <c r="RA48" s="13"/>
      <c r="RB48" s="13"/>
      <c r="RC48" s="13"/>
      <c r="RD48" s="13"/>
      <c r="RE48" s="13"/>
      <c r="RF48" s="13"/>
      <c r="RG48" s="13"/>
      <c r="RH48" s="13"/>
      <c r="RI48" s="13"/>
      <c r="RJ48" s="13"/>
      <c r="RK48" s="13"/>
      <c r="RL48" s="13"/>
      <c r="RM48" s="13"/>
    </row>
    <row x14ac:dyDescent="0.25" r="49" customHeight="1" ht="18" customFormat="1" s="8">
      <c r="A49" s="9" t="s">
        <v>829</v>
      </c>
      <c r="B49" s="13"/>
      <c r="C49" s="18">
        <f>IFERROR(N31/C31,0)</f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9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9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9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9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9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  <c r="IF49" s="13"/>
      <c r="IG49" s="13"/>
      <c r="IH49" s="13"/>
      <c r="II49" s="13"/>
      <c r="IJ49" s="13"/>
      <c r="IK49" s="13"/>
      <c r="IL49" s="13"/>
      <c r="IM49" s="13"/>
      <c r="IN49" s="13"/>
      <c r="IO49" s="13"/>
      <c r="IP49" s="13"/>
      <c r="IQ49" s="13"/>
      <c r="IR49" s="13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9"/>
      <c r="JL49" s="13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3"/>
      <c r="KG49" s="13"/>
      <c r="KH49" s="13"/>
      <c r="KI49" s="13"/>
      <c r="KJ49" s="13"/>
      <c r="KK49" s="13"/>
      <c r="KL49" s="13"/>
      <c r="KM49" s="13"/>
      <c r="KN49" s="13"/>
      <c r="KO49" s="13"/>
      <c r="KP49" s="13"/>
      <c r="KQ49" s="13"/>
      <c r="KR49" s="13"/>
      <c r="KS49" s="13"/>
      <c r="KT49" s="13"/>
      <c r="KU49" s="13"/>
      <c r="KV49" s="13"/>
      <c r="KW49" s="13"/>
      <c r="KX49" s="13"/>
      <c r="KY49" s="13"/>
      <c r="KZ49" s="13"/>
      <c r="LA49" s="13"/>
      <c r="LB49" s="13"/>
      <c r="LC49" s="13"/>
      <c r="LD49" s="13"/>
      <c r="LE49" s="13"/>
      <c r="LF49" s="13"/>
      <c r="LG49" s="13"/>
      <c r="LH49" s="13"/>
      <c r="LI49" s="13"/>
      <c r="LJ49" s="13"/>
      <c r="LK49" s="9"/>
      <c r="LL49" s="13"/>
      <c r="LM49" s="13"/>
      <c r="LN49" s="13"/>
      <c r="LO49" s="13"/>
      <c r="LP49" s="13"/>
      <c r="LQ49" s="13"/>
      <c r="LR49" s="13"/>
      <c r="LS49" s="13"/>
      <c r="LT49" s="13"/>
      <c r="LU49" s="13"/>
      <c r="LV49" s="13"/>
      <c r="LW49" s="13"/>
      <c r="LX49" s="13"/>
      <c r="LY49" s="13"/>
      <c r="LZ49" s="13"/>
      <c r="MA49" s="13"/>
      <c r="MB49" s="13"/>
      <c r="MC49" s="13"/>
      <c r="MD49" s="13"/>
      <c r="ME49" s="13"/>
      <c r="MF49" s="13"/>
      <c r="MG49" s="13"/>
      <c r="MH49" s="13"/>
      <c r="MI49" s="13"/>
      <c r="MJ49" s="13"/>
      <c r="MK49" s="13"/>
      <c r="ML49" s="13"/>
      <c r="MM49" s="13"/>
      <c r="MN49" s="13"/>
      <c r="MO49" s="13"/>
      <c r="MP49" s="13"/>
      <c r="MQ49" s="13"/>
      <c r="MR49" s="13"/>
      <c r="MS49" s="13"/>
      <c r="MT49" s="13"/>
      <c r="MU49" s="13"/>
      <c r="MV49" s="13"/>
      <c r="MW49" s="13"/>
      <c r="MX49" s="13"/>
      <c r="MY49" s="13"/>
      <c r="MZ49" s="13"/>
      <c r="NA49" s="13"/>
      <c r="NB49" s="13"/>
      <c r="NC49" s="13"/>
      <c r="ND49" s="13"/>
      <c r="NE49" s="13"/>
      <c r="NF49" s="13"/>
      <c r="NG49" s="9"/>
      <c r="NH49" s="13"/>
      <c r="NI49" s="13"/>
      <c r="NJ49" s="13"/>
      <c r="NK49" s="13"/>
      <c r="NL49" s="13"/>
      <c r="NM49" s="13"/>
      <c r="NN49" s="13"/>
      <c r="NO49" s="13"/>
      <c r="NP49" s="13"/>
      <c r="NQ49" s="13"/>
      <c r="NR49" s="13"/>
      <c r="NS49" s="13"/>
      <c r="NT49" s="13"/>
      <c r="NU49" s="13"/>
      <c r="NV49" s="13"/>
      <c r="NW49" s="13"/>
      <c r="NX49" s="13"/>
      <c r="NY49" s="13"/>
      <c r="NZ49" s="13"/>
      <c r="OA49" s="13"/>
      <c r="OB49" s="13"/>
      <c r="OC49" s="13"/>
      <c r="OD49" s="13"/>
      <c r="OE49" s="13"/>
      <c r="OF49" s="13"/>
      <c r="OG49" s="13"/>
      <c r="OH49" s="13"/>
      <c r="OI49" s="13"/>
      <c r="OJ49" s="13"/>
      <c r="OK49" s="13"/>
      <c r="OL49" s="13"/>
      <c r="OM49" s="13"/>
      <c r="ON49" s="13"/>
      <c r="OO49" s="13"/>
      <c r="OP49" s="13"/>
      <c r="OQ49" s="13"/>
      <c r="OR49" s="13"/>
      <c r="OS49" s="13"/>
      <c r="OT49" s="13"/>
      <c r="OU49" s="13"/>
      <c r="OV49" s="13"/>
      <c r="OW49" s="13"/>
      <c r="OX49" s="13"/>
      <c r="OY49" s="13"/>
      <c r="OZ49" s="13"/>
      <c r="PA49" s="9"/>
      <c r="PB49" s="13"/>
      <c r="PC49" s="13"/>
      <c r="PD49" s="13"/>
      <c r="PE49" s="13"/>
      <c r="PF49" s="13"/>
      <c r="PG49" s="13"/>
      <c r="PH49" s="13"/>
      <c r="PI49" s="13"/>
      <c r="PJ49" s="13"/>
      <c r="PK49" s="13"/>
      <c r="PL49" s="13"/>
      <c r="PM49" s="13"/>
      <c r="PN49" s="13"/>
      <c r="PO49" s="13"/>
      <c r="PP49" s="13"/>
      <c r="PQ49" s="13"/>
      <c r="PR49" s="13"/>
      <c r="PS49" s="13"/>
      <c r="PT49" s="13"/>
      <c r="PU49" s="13"/>
      <c r="PV49" s="13"/>
      <c r="PW49" s="13"/>
      <c r="PX49" s="13"/>
      <c r="PY49" s="13"/>
      <c r="PZ49" s="13"/>
      <c r="QA49" s="13"/>
      <c r="QB49" s="13"/>
      <c r="QC49" s="13"/>
      <c r="QD49" s="13"/>
      <c r="QE49" s="13"/>
      <c r="QF49" s="13"/>
      <c r="QG49" s="13"/>
      <c r="QH49" s="13"/>
      <c r="QI49" s="13"/>
      <c r="QJ49" s="13"/>
      <c r="QK49" s="9"/>
      <c r="QL49" s="13"/>
      <c r="QM49" s="13"/>
      <c r="QN49" s="13"/>
      <c r="QO49" s="13"/>
      <c r="QP49" s="13"/>
      <c r="QQ49" s="13"/>
      <c r="QR49" s="13"/>
      <c r="QS49" s="13"/>
      <c r="QT49" s="13"/>
      <c r="QU49" s="13"/>
      <c r="QV49" s="13"/>
      <c r="QW49" s="13"/>
      <c r="QX49" s="13"/>
      <c r="QY49" s="13"/>
      <c r="QZ49" s="13"/>
      <c r="RA49" s="13"/>
      <c r="RB49" s="13"/>
      <c r="RC49" s="13"/>
      <c r="RD49" s="13"/>
      <c r="RE49" s="13"/>
      <c r="RF49" s="13"/>
      <c r="RG49" s="13"/>
      <c r="RH49" s="13"/>
      <c r="RI49" s="13"/>
      <c r="RJ49" s="13"/>
      <c r="RK49" s="13"/>
      <c r="RL49" s="13"/>
      <c r="RM49" s="13"/>
    </row>
    <row x14ac:dyDescent="0.25" r="50" customHeight="1" ht="18" customFormat="1" s="8">
      <c r="A50" s="9" t="s">
        <v>835</v>
      </c>
      <c r="B50" s="13"/>
      <c r="C50" s="18">
        <f>IFERROR(N32/C32,0)</f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9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9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9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9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9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  <c r="IF50" s="13"/>
      <c r="IG50" s="13"/>
      <c r="IH50" s="13"/>
      <c r="II50" s="13"/>
      <c r="IJ50" s="13"/>
      <c r="IK50" s="13"/>
      <c r="IL50" s="13"/>
      <c r="IM50" s="13"/>
      <c r="IN50" s="13"/>
      <c r="IO50" s="13"/>
      <c r="IP50" s="13"/>
      <c r="IQ50" s="13"/>
      <c r="IR50" s="13"/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9"/>
      <c r="JL50" s="13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3"/>
      <c r="KG50" s="13"/>
      <c r="KH50" s="13"/>
      <c r="KI50" s="13"/>
      <c r="KJ50" s="13"/>
      <c r="KK50" s="13"/>
      <c r="KL50" s="13"/>
      <c r="KM50" s="13"/>
      <c r="KN50" s="13"/>
      <c r="KO50" s="13"/>
      <c r="KP50" s="13"/>
      <c r="KQ50" s="13"/>
      <c r="KR50" s="13"/>
      <c r="KS50" s="13"/>
      <c r="KT50" s="13"/>
      <c r="KU50" s="13"/>
      <c r="KV50" s="13"/>
      <c r="KW50" s="13"/>
      <c r="KX50" s="13"/>
      <c r="KY50" s="13"/>
      <c r="KZ50" s="13"/>
      <c r="LA50" s="13"/>
      <c r="LB50" s="13"/>
      <c r="LC50" s="13"/>
      <c r="LD50" s="13"/>
      <c r="LE50" s="13"/>
      <c r="LF50" s="13"/>
      <c r="LG50" s="13"/>
      <c r="LH50" s="13"/>
      <c r="LI50" s="13"/>
      <c r="LJ50" s="13"/>
      <c r="LK50" s="9"/>
      <c r="LL50" s="13"/>
      <c r="LM50" s="13"/>
      <c r="LN50" s="13"/>
      <c r="LO50" s="13"/>
      <c r="LP50" s="13"/>
      <c r="LQ50" s="13"/>
      <c r="LR50" s="13"/>
      <c r="LS50" s="13"/>
      <c r="LT50" s="13"/>
      <c r="LU50" s="13"/>
      <c r="LV50" s="13"/>
      <c r="LW50" s="13"/>
      <c r="LX50" s="13"/>
      <c r="LY50" s="13"/>
      <c r="LZ50" s="13"/>
      <c r="MA50" s="13"/>
      <c r="MB50" s="13"/>
      <c r="MC50" s="13"/>
      <c r="MD50" s="13"/>
      <c r="ME50" s="13"/>
      <c r="MF50" s="13"/>
      <c r="MG50" s="13"/>
      <c r="MH50" s="13"/>
      <c r="MI50" s="13"/>
      <c r="MJ50" s="13"/>
      <c r="MK50" s="13"/>
      <c r="ML50" s="13"/>
      <c r="MM50" s="13"/>
      <c r="MN50" s="13"/>
      <c r="MO50" s="13"/>
      <c r="MP50" s="13"/>
      <c r="MQ50" s="13"/>
      <c r="MR50" s="13"/>
      <c r="MS50" s="13"/>
      <c r="MT50" s="13"/>
      <c r="MU50" s="13"/>
      <c r="MV50" s="13"/>
      <c r="MW50" s="13"/>
      <c r="MX50" s="13"/>
      <c r="MY50" s="13"/>
      <c r="MZ50" s="13"/>
      <c r="NA50" s="13"/>
      <c r="NB50" s="13"/>
      <c r="NC50" s="13"/>
      <c r="ND50" s="13"/>
      <c r="NE50" s="13"/>
      <c r="NF50" s="13"/>
      <c r="NG50" s="9"/>
      <c r="NH50" s="13"/>
      <c r="NI50" s="13"/>
      <c r="NJ50" s="13"/>
      <c r="NK50" s="13"/>
      <c r="NL50" s="13"/>
      <c r="NM50" s="13"/>
      <c r="NN50" s="13"/>
      <c r="NO50" s="13"/>
      <c r="NP50" s="13"/>
      <c r="NQ50" s="13"/>
      <c r="NR50" s="13"/>
      <c r="NS50" s="13"/>
      <c r="NT50" s="13"/>
      <c r="NU50" s="13"/>
      <c r="NV50" s="13"/>
      <c r="NW50" s="13"/>
      <c r="NX50" s="13"/>
      <c r="NY50" s="13"/>
      <c r="NZ50" s="13"/>
      <c r="OA50" s="13"/>
      <c r="OB50" s="13"/>
      <c r="OC50" s="13"/>
      <c r="OD50" s="13"/>
      <c r="OE50" s="13"/>
      <c r="OF50" s="13"/>
      <c r="OG50" s="13"/>
      <c r="OH50" s="13"/>
      <c r="OI50" s="13"/>
      <c r="OJ50" s="13"/>
      <c r="OK50" s="13"/>
      <c r="OL50" s="13"/>
      <c r="OM50" s="13"/>
      <c r="ON50" s="13"/>
      <c r="OO50" s="13"/>
      <c r="OP50" s="13"/>
      <c r="OQ50" s="13"/>
      <c r="OR50" s="13"/>
      <c r="OS50" s="13"/>
      <c r="OT50" s="13"/>
      <c r="OU50" s="13"/>
      <c r="OV50" s="13"/>
      <c r="OW50" s="13"/>
      <c r="OX50" s="13"/>
      <c r="OY50" s="13"/>
      <c r="OZ50" s="13"/>
      <c r="PA50" s="9"/>
      <c r="PB50" s="13"/>
      <c r="PC50" s="13"/>
      <c r="PD50" s="13"/>
      <c r="PE50" s="13"/>
      <c r="PF50" s="13"/>
      <c r="PG50" s="13"/>
      <c r="PH50" s="13"/>
      <c r="PI50" s="13"/>
      <c r="PJ50" s="13"/>
      <c r="PK50" s="13"/>
      <c r="PL50" s="13"/>
      <c r="PM50" s="13"/>
      <c r="PN50" s="13"/>
      <c r="PO50" s="13"/>
      <c r="PP50" s="13"/>
      <c r="PQ50" s="13"/>
      <c r="PR50" s="13"/>
      <c r="PS50" s="13"/>
      <c r="PT50" s="13"/>
      <c r="PU50" s="13"/>
      <c r="PV50" s="13"/>
      <c r="PW50" s="13"/>
      <c r="PX50" s="13"/>
      <c r="PY50" s="13"/>
      <c r="PZ50" s="13"/>
      <c r="QA50" s="13"/>
      <c r="QB50" s="13"/>
      <c r="QC50" s="13"/>
      <c r="QD50" s="13"/>
      <c r="QE50" s="13"/>
      <c r="QF50" s="13"/>
      <c r="QG50" s="13"/>
      <c r="QH50" s="13"/>
      <c r="QI50" s="13"/>
      <c r="QJ50" s="13"/>
      <c r="QK50" s="9"/>
      <c r="QL50" s="13"/>
      <c r="QM50" s="13"/>
      <c r="QN50" s="13"/>
      <c r="QO50" s="13"/>
      <c r="QP50" s="13"/>
      <c r="QQ50" s="13"/>
      <c r="QR50" s="13"/>
      <c r="QS50" s="13"/>
      <c r="QT50" s="13"/>
      <c r="QU50" s="13"/>
      <c r="QV50" s="13"/>
      <c r="QW50" s="13"/>
      <c r="QX50" s="13"/>
      <c r="QY50" s="13"/>
      <c r="QZ50" s="13"/>
      <c r="RA50" s="13"/>
      <c r="RB50" s="13"/>
      <c r="RC50" s="13"/>
      <c r="RD50" s="13"/>
      <c r="RE50" s="13"/>
      <c r="RF50" s="13"/>
      <c r="RG50" s="13"/>
      <c r="RH50" s="13"/>
      <c r="RI50" s="13"/>
      <c r="RJ50" s="13"/>
      <c r="RK50" s="13"/>
      <c r="RL50" s="13"/>
      <c r="RM50" s="13"/>
    </row>
    <row x14ac:dyDescent="0.25" r="51" customHeight="1" ht="18" customFormat="1" s="8">
      <c r="A51" s="9" t="s">
        <v>838</v>
      </c>
      <c r="B51" s="13"/>
      <c r="C51" s="18">
        <f>IFERROR(N33/C33,0)</f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9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9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9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9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9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  <c r="IF51" s="13"/>
      <c r="IG51" s="13"/>
      <c r="IH51" s="13"/>
      <c r="II51" s="13"/>
      <c r="IJ51" s="13"/>
      <c r="IK51" s="13"/>
      <c r="IL51" s="13"/>
      <c r="IM51" s="13"/>
      <c r="IN51" s="13"/>
      <c r="IO51" s="13"/>
      <c r="IP51" s="13"/>
      <c r="IQ51" s="13"/>
      <c r="IR51" s="13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9"/>
      <c r="JL51" s="13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3"/>
      <c r="KG51" s="13"/>
      <c r="KH51" s="13"/>
      <c r="KI51" s="13"/>
      <c r="KJ51" s="13"/>
      <c r="KK51" s="13"/>
      <c r="KL51" s="13"/>
      <c r="KM51" s="13"/>
      <c r="KN51" s="13"/>
      <c r="KO51" s="13"/>
      <c r="KP51" s="13"/>
      <c r="KQ51" s="13"/>
      <c r="KR51" s="13"/>
      <c r="KS51" s="13"/>
      <c r="KT51" s="13"/>
      <c r="KU51" s="13"/>
      <c r="KV51" s="13"/>
      <c r="KW51" s="13"/>
      <c r="KX51" s="13"/>
      <c r="KY51" s="13"/>
      <c r="KZ51" s="13"/>
      <c r="LA51" s="13"/>
      <c r="LB51" s="13"/>
      <c r="LC51" s="13"/>
      <c r="LD51" s="13"/>
      <c r="LE51" s="13"/>
      <c r="LF51" s="13"/>
      <c r="LG51" s="13"/>
      <c r="LH51" s="13"/>
      <c r="LI51" s="13"/>
      <c r="LJ51" s="13"/>
      <c r="LK51" s="9"/>
      <c r="LL51" s="13"/>
      <c r="LM51" s="13"/>
      <c r="LN51" s="13"/>
      <c r="LO51" s="13"/>
      <c r="LP51" s="13"/>
      <c r="LQ51" s="13"/>
      <c r="LR51" s="13"/>
      <c r="LS51" s="13"/>
      <c r="LT51" s="13"/>
      <c r="LU51" s="13"/>
      <c r="LV51" s="13"/>
      <c r="LW51" s="13"/>
      <c r="LX51" s="13"/>
      <c r="LY51" s="13"/>
      <c r="LZ51" s="13"/>
      <c r="MA51" s="13"/>
      <c r="MB51" s="13"/>
      <c r="MC51" s="13"/>
      <c r="MD51" s="13"/>
      <c r="ME51" s="13"/>
      <c r="MF51" s="13"/>
      <c r="MG51" s="13"/>
      <c r="MH51" s="13"/>
      <c r="MI51" s="13"/>
      <c r="MJ51" s="13"/>
      <c r="MK51" s="13"/>
      <c r="ML51" s="13"/>
      <c r="MM51" s="13"/>
      <c r="MN51" s="13"/>
      <c r="MO51" s="13"/>
      <c r="MP51" s="13"/>
      <c r="MQ51" s="13"/>
      <c r="MR51" s="13"/>
      <c r="MS51" s="13"/>
      <c r="MT51" s="13"/>
      <c r="MU51" s="13"/>
      <c r="MV51" s="13"/>
      <c r="MW51" s="13"/>
      <c r="MX51" s="13"/>
      <c r="MY51" s="13"/>
      <c r="MZ51" s="13"/>
      <c r="NA51" s="13"/>
      <c r="NB51" s="13"/>
      <c r="NC51" s="13"/>
      <c r="ND51" s="13"/>
      <c r="NE51" s="13"/>
      <c r="NF51" s="13"/>
      <c r="NG51" s="9"/>
      <c r="NH51" s="13"/>
      <c r="NI51" s="13"/>
      <c r="NJ51" s="13"/>
      <c r="NK51" s="13"/>
      <c r="NL51" s="13"/>
      <c r="NM51" s="13"/>
      <c r="NN51" s="13"/>
      <c r="NO51" s="13"/>
      <c r="NP51" s="13"/>
      <c r="NQ51" s="13"/>
      <c r="NR51" s="13"/>
      <c r="NS51" s="13"/>
      <c r="NT51" s="13"/>
      <c r="NU51" s="13"/>
      <c r="NV51" s="13"/>
      <c r="NW51" s="13"/>
      <c r="NX51" s="13"/>
      <c r="NY51" s="13"/>
      <c r="NZ51" s="13"/>
      <c r="OA51" s="13"/>
      <c r="OB51" s="13"/>
      <c r="OC51" s="13"/>
      <c r="OD51" s="13"/>
      <c r="OE51" s="13"/>
      <c r="OF51" s="13"/>
      <c r="OG51" s="13"/>
      <c r="OH51" s="13"/>
      <c r="OI51" s="13"/>
      <c r="OJ51" s="13"/>
      <c r="OK51" s="13"/>
      <c r="OL51" s="13"/>
      <c r="OM51" s="13"/>
      <c r="ON51" s="13"/>
      <c r="OO51" s="13"/>
      <c r="OP51" s="13"/>
      <c r="OQ51" s="13"/>
      <c r="OR51" s="13"/>
      <c r="OS51" s="13"/>
      <c r="OT51" s="13"/>
      <c r="OU51" s="13"/>
      <c r="OV51" s="13"/>
      <c r="OW51" s="13"/>
      <c r="OX51" s="13"/>
      <c r="OY51" s="13"/>
      <c r="OZ51" s="13"/>
      <c r="PA51" s="9"/>
      <c r="PB51" s="13"/>
      <c r="PC51" s="13"/>
      <c r="PD51" s="13"/>
      <c r="PE51" s="13"/>
      <c r="PF51" s="13"/>
      <c r="PG51" s="13"/>
      <c r="PH51" s="13"/>
      <c r="PI51" s="13"/>
      <c r="PJ51" s="13"/>
      <c r="PK51" s="13"/>
      <c r="PL51" s="13"/>
      <c r="PM51" s="13"/>
      <c r="PN51" s="13"/>
      <c r="PO51" s="13"/>
      <c r="PP51" s="13"/>
      <c r="PQ51" s="13"/>
      <c r="PR51" s="13"/>
      <c r="PS51" s="13"/>
      <c r="PT51" s="13"/>
      <c r="PU51" s="13"/>
      <c r="PV51" s="13"/>
      <c r="PW51" s="13"/>
      <c r="PX51" s="13"/>
      <c r="PY51" s="13"/>
      <c r="PZ51" s="13"/>
      <c r="QA51" s="13"/>
      <c r="QB51" s="13"/>
      <c r="QC51" s="13"/>
      <c r="QD51" s="13"/>
      <c r="QE51" s="13"/>
      <c r="QF51" s="13"/>
      <c r="QG51" s="13"/>
      <c r="QH51" s="13"/>
      <c r="QI51" s="13"/>
      <c r="QJ51" s="13"/>
      <c r="QK51" s="9"/>
      <c r="QL51" s="13"/>
      <c r="QM51" s="13"/>
      <c r="QN51" s="13"/>
      <c r="QO51" s="13"/>
      <c r="QP51" s="13"/>
      <c r="QQ51" s="13"/>
      <c r="QR51" s="13"/>
      <c r="QS51" s="13"/>
      <c r="QT51" s="13"/>
      <c r="QU51" s="13"/>
      <c r="QV51" s="13"/>
      <c r="QW51" s="13"/>
      <c r="QX51" s="13"/>
      <c r="QY51" s="13"/>
      <c r="QZ51" s="13"/>
      <c r="RA51" s="13"/>
      <c r="RB51" s="13"/>
      <c r="RC51" s="13"/>
      <c r="RD51" s="13"/>
      <c r="RE51" s="13"/>
      <c r="RF51" s="13"/>
      <c r="RG51" s="13"/>
      <c r="RH51" s="13"/>
      <c r="RI51" s="13"/>
      <c r="RJ51" s="13"/>
      <c r="RK51" s="13"/>
      <c r="RL51" s="13"/>
      <c r="RM51" s="13"/>
    </row>
    <row x14ac:dyDescent="0.25" r="52" customHeight="1" ht="18" customFormat="1" s="8">
      <c r="A52" s="9" t="s">
        <v>841</v>
      </c>
      <c r="B52" s="13"/>
      <c r="C52" s="18">
        <f>IFERROR(N34/C34,0)</f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9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9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9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9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9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9"/>
      <c r="JL52" s="13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3"/>
      <c r="KG52" s="13"/>
      <c r="KH52" s="13"/>
      <c r="KI52" s="13"/>
      <c r="KJ52" s="13"/>
      <c r="KK52" s="13"/>
      <c r="KL52" s="13"/>
      <c r="KM52" s="13"/>
      <c r="KN52" s="13"/>
      <c r="KO52" s="13"/>
      <c r="KP52" s="13"/>
      <c r="KQ52" s="13"/>
      <c r="KR52" s="13"/>
      <c r="KS52" s="13"/>
      <c r="KT52" s="13"/>
      <c r="KU52" s="13"/>
      <c r="KV52" s="13"/>
      <c r="KW52" s="13"/>
      <c r="KX52" s="13"/>
      <c r="KY52" s="13"/>
      <c r="KZ52" s="13"/>
      <c r="LA52" s="13"/>
      <c r="LB52" s="13"/>
      <c r="LC52" s="13"/>
      <c r="LD52" s="13"/>
      <c r="LE52" s="13"/>
      <c r="LF52" s="13"/>
      <c r="LG52" s="13"/>
      <c r="LH52" s="13"/>
      <c r="LI52" s="13"/>
      <c r="LJ52" s="13"/>
      <c r="LK52" s="9"/>
      <c r="LL52" s="13"/>
      <c r="LM52" s="13"/>
      <c r="LN52" s="13"/>
      <c r="LO52" s="13"/>
      <c r="LP52" s="13"/>
      <c r="LQ52" s="13"/>
      <c r="LR52" s="13"/>
      <c r="LS52" s="13"/>
      <c r="LT52" s="13"/>
      <c r="LU52" s="13"/>
      <c r="LV52" s="13"/>
      <c r="LW52" s="13"/>
      <c r="LX52" s="13"/>
      <c r="LY52" s="13"/>
      <c r="LZ52" s="13"/>
      <c r="MA52" s="13"/>
      <c r="MB52" s="13"/>
      <c r="MC52" s="13"/>
      <c r="MD52" s="13"/>
      <c r="ME52" s="13"/>
      <c r="MF52" s="13"/>
      <c r="MG52" s="13"/>
      <c r="MH52" s="13"/>
      <c r="MI52" s="13"/>
      <c r="MJ52" s="13"/>
      <c r="MK52" s="13"/>
      <c r="ML52" s="13"/>
      <c r="MM52" s="13"/>
      <c r="MN52" s="13"/>
      <c r="MO52" s="13"/>
      <c r="MP52" s="13"/>
      <c r="MQ52" s="13"/>
      <c r="MR52" s="13"/>
      <c r="MS52" s="13"/>
      <c r="MT52" s="13"/>
      <c r="MU52" s="13"/>
      <c r="MV52" s="13"/>
      <c r="MW52" s="13"/>
      <c r="MX52" s="13"/>
      <c r="MY52" s="13"/>
      <c r="MZ52" s="13"/>
      <c r="NA52" s="13"/>
      <c r="NB52" s="13"/>
      <c r="NC52" s="13"/>
      <c r="ND52" s="13"/>
      <c r="NE52" s="13"/>
      <c r="NF52" s="13"/>
      <c r="NG52" s="9"/>
      <c r="NH52" s="13"/>
      <c r="NI52" s="13"/>
      <c r="NJ52" s="13"/>
      <c r="NK52" s="13"/>
      <c r="NL52" s="13"/>
      <c r="NM52" s="13"/>
      <c r="NN52" s="13"/>
      <c r="NO52" s="13"/>
      <c r="NP52" s="13"/>
      <c r="NQ52" s="13"/>
      <c r="NR52" s="13"/>
      <c r="NS52" s="13"/>
      <c r="NT52" s="13"/>
      <c r="NU52" s="13"/>
      <c r="NV52" s="13"/>
      <c r="NW52" s="13"/>
      <c r="NX52" s="13"/>
      <c r="NY52" s="13"/>
      <c r="NZ52" s="13"/>
      <c r="OA52" s="13"/>
      <c r="OB52" s="13"/>
      <c r="OC52" s="13"/>
      <c r="OD52" s="13"/>
      <c r="OE52" s="13"/>
      <c r="OF52" s="13"/>
      <c r="OG52" s="13"/>
      <c r="OH52" s="13"/>
      <c r="OI52" s="13"/>
      <c r="OJ52" s="13"/>
      <c r="OK52" s="13"/>
      <c r="OL52" s="13"/>
      <c r="OM52" s="13"/>
      <c r="ON52" s="13"/>
      <c r="OO52" s="13"/>
      <c r="OP52" s="13"/>
      <c r="OQ52" s="13"/>
      <c r="OR52" s="13"/>
      <c r="OS52" s="13"/>
      <c r="OT52" s="13"/>
      <c r="OU52" s="13"/>
      <c r="OV52" s="13"/>
      <c r="OW52" s="13"/>
      <c r="OX52" s="13"/>
      <c r="OY52" s="13"/>
      <c r="OZ52" s="13"/>
      <c r="PA52" s="9"/>
      <c r="PB52" s="13"/>
      <c r="PC52" s="13"/>
      <c r="PD52" s="13"/>
      <c r="PE52" s="13"/>
      <c r="PF52" s="13"/>
      <c r="PG52" s="13"/>
      <c r="PH52" s="13"/>
      <c r="PI52" s="13"/>
      <c r="PJ52" s="13"/>
      <c r="PK52" s="13"/>
      <c r="PL52" s="13"/>
      <c r="PM52" s="13"/>
      <c r="PN52" s="13"/>
      <c r="PO52" s="13"/>
      <c r="PP52" s="13"/>
      <c r="PQ52" s="13"/>
      <c r="PR52" s="13"/>
      <c r="PS52" s="13"/>
      <c r="PT52" s="13"/>
      <c r="PU52" s="13"/>
      <c r="PV52" s="13"/>
      <c r="PW52" s="13"/>
      <c r="PX52" s="13"/>
      <c r="PY52" s="13"/>
      <c r="PZ52" s="13"/>
      <c r="QA52" s="13"/>
      <c r="QB52" s="13"/>
      <c r="QC52" s="13"/>
      <c r="QD52" s="13"/>
      <c r="QE52" s="13"/>
      <c r="QF52" s="13"/>
      <c r="QG52" s="13"/>
      <c r="QH52" s="13"/>
      <c r="QI52" s="13"/>
      <c r="QJ52" s="13"/>
      <c r="QK52" s="9"/>
      <c r="QL52" s="13"/>
      <c r="QM52" s="13"/>
      <c r="QN52" s="13"/>
      <c r="QO52" s="13"/>
      <c r="QP52" s="13"/>
      <c r="QQ52" s="13"/>
      <c r="QR52" s="13"/>
      <c r="QS52" s="13"/>
      <c r="QT52" s="13"/>
      <c r="QU52" s="13"/>
      <c r="QV52" s="13"/>
      <c r="QW52" s="13"/>
      <c r="QX52" s="13"/>
      <c r="QY52" s="13"/>
      <c r="QZ52" s="13"/>
      <c r="RA52" s="13"/>
      <c r="RB52" s="13"/>
      <c r="RC52" s="13"/>
      <c r="RD52" s="13"/>
      <c r="RE52" s="13"/>
      <c r="RF52" s="13"/>
      <c r="RG52" s="13"/>
      <c r="RH52" s="13"/>
      <c r="RI52" s="13"/>
      <c r="RJ52" s="13"/>
      <c r="RK52" s="13"/>
      <c r="RL52" s="13"/>
      <c r="RM52" s="13"/>
    </row>
    <row x14ac:dyDescent="0.25" r="53" customHeight="1" ht="18" customFormat="1" s="8">
      <c r="A53" s="9" t="s">
        <v>845</v>
      </c>
      <c r="B53" s="13"/>
      <c r="C53" s="18">
        <f>IFERROR(N35/C35,0)</f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9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9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9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9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9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9"/>
      <c r="JL53" s="1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3"/>
      <c r="KG53" s="13"/>
      <c r="KH53" s="13"/>
      <c r="KI53" s="13"/>
      <c r="KJ53" s="13"/>
      <c r="KK53" s="13"/>
      <c r="KL53" s="13"/>
      <c r="KM53" s="13"/>
      <c r="KN53" s="13"/>
      <c r="KO53" s="13"/>
      <c r="KP53" s="13"/>
      <c r="KQ53" s="13"/>
      <c r="KR53" s="13"/>
      <c r="KS53" s="13"/>
      <c r="KT53" s="13"/>
      <c r="KU53" s="13"/>
      <c r="KV53" s="13"/>
      <c r="KW53" s="13"/>
      <c r="KX53" s="13"/>
      <c r="KY53" s="13"/>
      <c r="KZ53" s="13"/>
      <c r="LA53" s="13"/>
      <c r="LB53" s="13"/>
      <c r="LC53" s="13"/>
      <c r="LD53" s="13"/>
      <c r="LE53" s="13"/>
      <c r="LF53" s="13"/>
      <c r="LG53" s="13"/>
      <c r="LH53" s="13"/>
      <c r="LI53" s="13"/>
      <c r="LJ53" s="13"/>
      <c r="LK53" s="9"/>
      <c r="LL53" s="13"/>
      <c r="LM53" s="13"/>
      <c r="LN53" s="13"/>
      <c r="LO53" s="13"/>
      <c r="LP53" s="13"/>
      <c r="LQ53" s="13"/>
      <c r="LR53" s="13"/>
      <c r="LS53" s="13"/>
      <c r="LT53" s="13"/>
      <c r="LU53" s="13"/>
      <c r="LV53" s="13"/>
      <c r="LW53" s="13"/>
      <c r="LX53" s="13"/>
      <c r="LY53" s="13"/>
      <c r="LZ53" s="13"/>
      <c r="MA53" s="13"/>
      <c r="MB53" s="13"/>
      <c r="MC53" s="13"/>
      <c r="MD53" s="13"/>
      <c r="ME53" s="13"/>
      <c r="MF53" s="13"/>
      <c r="MG53" s="13"/>
      <c r="MH53" s="13"/>
      <c r="MI53" s="13"/>
      <c r="MJ53" s="13"/>
      <c r="MK53" s="13"/>
      <c r="ML53" s="13"/>
      <c r="MM53" s="13"/>
      <c r="MN53" s="13"/>
      <c r="MO53" s="13"/>
      <c r="MP53" s="13"/>
      <c r="MQ53" s="13"/>
      <c r="MR53" s="13"/>
      <c r="MS53" s="13"/>
      <c r="MT53" s="13"/>
      <c r="MU53" s="13"/>
      <c r="MV53" s="13"/>
      <c r="MW53" s="13"/>
      <c r="MX53" s="13"/>
      <c r="MY53" s="13"/>
      <c r="MZ53" s="13"/>
      <c r="NA53" s="13"/>
      <c r="NB53" s="13"/>
      <c r="NC53" s="13"/>
      <c r="ND53" s="13"/>
      <c r="NE53" s="13"/>
      <c r="NF53" s="13"/>
      <c r="NG53" s="9"/>
      <c r="NH53" s="13"/>
      <c r="NI53" s="13"/>
      <c r="NJ53" s="13"/>
      <c r="NK53" s="13"/>
      <c r="NL53" s="13"/>
      <c r="NM53" s="13"/>
      <c r="NN53" s="13"/>
      <c r="NO53" s="13"/>
      <c r="NP53" s="13"/>
      <c r="NQ53" s="13"/>
      <c r="NR53" s="13"/>
      <c r="NS53" s="13"/>
      <c r="NT53" s="13"/>
      <c r="NU53" s="13"/>
      <c r="NV53" s="13"/>
      <c r="NW53" s="13"/>
      <c r="NX53" s="13"/>
      <c r="NY53" s="13"/>
      <c r="NZ53" s="13"/>
      <c r="OA53" s="13"/>
      <c r="OB53" s="13"/>
      <c r="OC53" s="13"/>
      <c r="OD53" s="13"/>
      <c r="OE53" s="13"/>
      <c r="OF53" s="13"/>
      <c r="OG53" s="13"/>
      <c r="OH53" s="13"/>
      <c r="OI53" s="13"/>
      <c r="OJ53" s="13"/>
      <c r="OK53" s="13"/>
      <c r="OL53" s="13"/>
      <c r="OM53" s="13"/>
      <c r="ON53" s="13"/>
      <c r="OO53" s="13"/>
      <c r="OP53" s="13"/>
      <c r="OQ53" s="13"/>
      <c r="OR53" s="13"/>
      <c r="OS53" s="13"/>
      <c r="OT53" s="13"/>
      <c r="OU53" s="13"/>
      <c r="OV53" s="13"/>
      <c r="OW53" s="13"/>
      <c r="OX53" s="13"/>
      <c r="OY53" s="13"/>
      <c r="OZ53" s="13"/>
      <c r="PA53" s="9"/>
      <c r="PB53" s="13"/>
      <c r="PC53" s="13"/>
      <c r="PD53" s="13"/>
      <c r="PE53" s="13"/>
      <c r="PF53" s="13"/>
      <c r="PG53" s="13"/>
      <c r="PH53" s="13"/>
      <c r="PI53" s="13"/>
      <c r="PJ53" s="13"/>
      <c r="PK53" s="13"/>
      <c r="PL53" s="13"/>
      <c r="PM53" s="13"/>
      <c r="PN53" s="13"/>
      <c r="PO53" s="13"/>
      <c r="PP53" s="13"/>
      <c r="PQ53" s="13"/>
      <c r="PR53" s="13"/>
      <c r="PS53" s="13"/>
      <c r="PT53" s="13"/>
      <c r="PU53" s="13"/>
      <c r="PV53" s="13"/>
      <c r="PW53" s="13"/>
      <c r="PX53" s="13"/>
      <c r="PY53" s="13"/>
      <c r="PZ53" s="13"/>
      <c r="QA53" s="13"/>
      <c r="QB53" s="13"/>
      <c r="QC53" s="13"/>
      <c r="QD53" s="13"/>
      <c r="QE53" s="13"/>
      <c r="QF53" s="13"/>
      <c r="QG53" s="13"/>
      <c r="QH53" s="13"/>
      <c r="QI53" s="13"/>
      <c r="QJ53" s="13"/>
      <c r="QK53" s="9"/>
      <c r="QL53" s="13"/>
      <c r="QM53" s="13"/>
      <c r="QN53" s="13"/>
      <c r="QO53" s="13"/>
      <c r="QP53" s="13"/>
      <c r="QQ53" s="13"/>
      <c r="QR53" s="13"/>
      <c r="QS53" s="13"/>
      <c r="QT53" s="13"/>
      <c r="QU53" s="13"/>
      <c r="QV53" s="13"/>
      <c r="QW53" s="13"/>
      <c r="QX53" s="13"/>
      <c r="QY53" s="13"/>
      <c r="QZ53" s="13"/>
      <c r="RA53" s="13"/>
      <c r="RB53" s="13"/>
      <c r="RC53" s="13"/>
      <c r="RD53" s="13"/>
      <c r="RE53" s="13"/>
      <c r="RF53" s="13"/>
      <c r="RG53" s="13"/>
      <c r="RH53" s="13"/>
      <c r="RI53" s="13"/>
      <c r="RJ53" s="13"/>
      <c r="RK53" s="13"/>
      <c r="RL53" s="13"/>
      <c r="RM53" s="13"/>
    </row>
    <row x14ac:dyDescent="0.25" r="54" customHeight="1" ht="18" customFormat="1" s="8">
      <c r="A54" s="9" t="s">
        <v>849</v>
      </c>
      <c r="B54" s="13"/>
      <c r="C54" s="18">
        <f>IFERROR(N36/C36,0)</f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9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9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9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9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9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9"/>
      <c r="JL54" s="13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3"/>
      <c r="KG54" s="13"/>
      <c r="KH54" s="13"/>
      <c r="KI54" s="13"/>
      <c r="KJ54" s="13"/>
      <c r="KK54" s="13"/>
      <c r="KL54" s="13"/>
      <c r="KM54" s="13"/>
      <c r="KN54" s="13"/>
      <c r="KO54" s="13"/>
      <c r="KP54" s="13"/>
      <c r="KQ54" s="13"/>
      <c r="KR54" s="13"/>
      <c r="KS54" s="13"/>
      <c r="KT54" s="13"/>
      <c r="KU54" s="13"/>
      <c r="KV54" s="13"/>
      <c r="KW54" s="13"/>
      <c r="KX54" s="13"/>
      <c r="KY54" s="13"/>
      <c r="KZ54" s="13"/>
      <c r="LA54" s="13"/>
      <c r="LB54" s="13"/>
      <c r="LC54" s="13"/>
      <c r="LD54" s="13"/>
      <c r="LE54" s="13"/>
      <c r="LF54" s="13"/>
      <c r="LG54" s="13"/>
      <c r="LH54" s="13"/>
      <c r="LI54" s="13"/>
      <c r="LJ54" s="13"/>
      <c r="LK54" s="9"/>
      <c r="LL54" s="13"/>
      <c r="LM54" s="13"/>
      <c r="LN54" s="13"/>
      <c r="LO54" s="13"/>
      <c r="LP54" s="13"/>
      <c r="LQ54" s="13"/>
      <c r="LR54" s="13"/>
      <c r="LS54" s="13"/>
      <c r="LT54" s="13"/>
      <c r="LU54" s="13"/>
      <c r="LV54" s="13"/>
      <c r="LW54" s="13"/>
      <c r="LX54" s="13"/>
      <c r="LY54" s="13"/>
      <c r="LZ54" s="13"/>
      <c r="MA54" s="13"/>
      <c r="MB54" s="13"/>
      <c r="MC54" s="13"/>
      <c r="MD54" s="13"/>
      <c r="ME54" s="13"/>
      <c r="MF54" s="13"/>
      <c r="MG54" s="13"/>
      <c r="MH54" s="13"/>
      <c r="MI54" s="13"/>
      <c r="MJ54" s="13"/>
      <c r="MK54" s="13"/>
      <c r="ML54" s="13"/>
      <c r="MM54" s="13"/>
      <c r="MN54" s="13"/>
      <c r="MO54" s="13"/>
      <c r="MP54" s="13"/>
      <c r="MQ54" s="13"/>
      <c r="MR54" s="13"/>
      <c r="MS54" s="13"/>
      <c r="MT54" s="13"/>
      <c r="MU54" s="13"/>
      <c r="MV54" s="13"/>
      <c r="MW54" s="13"/>
      <c r="MX54" s="13"/>
      <c r="MY54" s="13"/>
      <c r="MZ54" s="13"/>
      <c r="NA54" s="13"/>
      <c r="NB54" s="13"/>
      <c r="NC54" s="13"/>
      <c r="ND54" s="13"/>
      <c r="NE54" s="13"/>
      <c r="NF54" s="13"/>
      <c r="NG54" s="9"/>
      <c r="NH54" s="13"/>
      <c r="NI54" s="13"/>
      <c r="NJ54" s="13"/>
      <c r="NK54" s="13"/>
      <c r="NL54" s="13"/>
      <c r="NM54" s="13"/>
      <c r="NN54" s="13"/>
      <c r="NO54" s="13"/>
      <c r="NP54" s="13"/>
      <c r="NQ54" s="13"/>
      <c r="NR54" s="13"/>
      <c r="NS54" s="13"/>
      <c r="NT54" s="13"/>
      <c r="NU54" s="13"/>
      <c r="NV54" s="13"/>
      <c r="NW54" s="13"/>
      <c r="NX54" s="13"/>
      <c r="NY54" s="13"/>
      <c r="NZ54" s="13"/>
      <c r="OA54" s="13"/>
      <c r="OB54" s="13"/>
      <c r="OC54" s="13"/>
      <c r="OD54" s="13"/>
      <c r="OE54" s="13"/>
      <c r="OF54" s="13"/>
      <c r="OG54" s="13"/>
      <c r="OH54" s="13"/>
      <c r="OI54" s="13"/>
      <c r="OJ54" s="13"/>
      <c r="OK54" s="13"/>
      <c r="OL54" s="13"/>
      <c r="OM54" s="13"/>
      <c r="ON54" s="13"/>
      <c r="OO54" s="13"/>
      <c r="OP54" s="13"/>
      <c r="OQ54" s="13"/>
      <c r="OR54" s="13"/>
      <c r="OS54" s="13"/>
      <c r="OT54" s="13"/>
      <c r="OU54" s="13"/>
      <c r="OV54" s="13"/>
      <c r="OW54" s="13"/>
      <c r="OX54" s="13"/>
      <c r="OY54" s="13"/>
      <c r="OZ54" s="13"/>
      <c r="PA54" s="9"/>
      <c r="PB54" s="13"/>
      <c r="PC54" s="13"/>
      <c r="PD54" s="13"/>
      <c r="PE54" s="13"/>
      <c r="PF54" s="13"/>
      <c r="PG54" s="13"/>
      <c r="PH54" s="13"/>
      <c r="PI54" s="13"/>
      <c r="PJ54" s="13"/>
      <c r="PK54" s="13"/>
      <c r="PL54" s="13"/>
      <c r="PM54" s="13"/>
      <c r="PN54" s="13"/>
      <c r="PO54" s="13"/>
      <c r="PP54" s="13"/>
      <c r="PQ54" s="13"/>
      <c r="PR54" s="13"/>
      <c r="PS54" s="13"/>
      <c r="PT54" s="13"/>
      <c r="PU54" s="13"/>
      <c r="PV54" s="13"/>
      <c r="PW54" s="13"/>
      <c r="PX54" s="13"/>
      <c r="PY54" s="13"/>
      <c r="PZ54" s="13"/>
      <c r="QA54" s="13"/>
      <c r="QB54" s="13"/>
      <c r="QC54" s="13"/>
      <c r="QD54" s="13"/>
      <c r="QE54" s="13"/>
      <c r="QF54" s="13"/>
      <c r="QG54" s="13"/>
      <c r="QH54" s="13"/>
      <c r="QI54" s="13"/>
      <c r="QJ54" s="13"/>
      <c r="QK54" s="9"/>
      <c r="QL54" s="13"/>
      <c r="QM54" s="13"/>
      <c r="QN54" s="13"/>
      <c r="QO54" s="13"/>
      <c r="QP54" s="13"/>
      <c r="QQ54" s="13"/>
      <c r="QR54" s="13"/>
      <c r="QS54" s="13"/>
      <c r="QT54" s="13"/>
      <c r="QU54" s="13"/>
      <c r="QV54" s="13"/>
      <c r="QW54" s="13"/>
      <c r="QX54" s="13"/>
      <c r="QY54" s="13"/>
      <c r="QZ54" s="13"/>
      <c r="RA54" s="13"/>
      <c r="RB54" s="13"/>
      <c r="RC54" s="13"/>
      <c r="RD54" s="13"/>
      <c r="RE54" s="13"/>
      <c r="RF54" s="13"/>
      <c r="RG54" s="13"/>
      <c r="RH54" s="13"/>
      <c r="RI54" s="13"/>
      <c r="RJ54" s="13"/>
      <c r="RK54" s="13"/>
      <c r="RL54" s="13"/>
      <c r="RM54" s="13"/>
    </row>
    <row x14ac:dyDescent="0.25" r="55" customHeight="1" ht="18" customFormat="1" s="8">
      <c r="A55" s="9" t="s">
        <v>850</v>
      </c>
      <c r="B55" s="13"/>
      <c r="C55" s="18">
        <f>IFERROR(N37/C37,0)</f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9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9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9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9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9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9"/>
      <c r="JL55" s="13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3"/>
      <c r="KG55" s="13"/>
      <c r="KH55" s="13"/>
      <c r="KI55" s="13"/>
      <c r="KJ55" s="13"/>
      <c r="KK55" s="13"/>
      <c r="KL55" s="13"/>
      <c r="KM55" s="13"/>
      <c r="KN55" s="13"/>
      <c r="KO55" s="13"/>
      <c r="KP55" s="13"/>
      <c r="KQ55" s="13"/>
      <c r="KR55" s="13"/>
      <c r="KS55" s="13"/>
      <c r="KT55" s="13"/>
      <c r="KU55" s="13"/>
      <c r="KV55" s="13"/>
      <c r="KW55" s="13"/>
      <c r="KX55" s="13"/>
      <c r="KY55" s="13"/>
      <c r="KZ55" s="13"/>
      <c r="LA55" s="13"/>
      <c r="LB55" s="13"/>
      <c r="LC55" s="13"/>
      <c r="LD55" s="13"/>
      <c r="LE55" s="13"/>
      <c r="LF55" s="13"/>
      <c r="LG55" s="13"/>
      <c r="LH55" s="13"/>
      <c r="LI55" s="13"/>
      <c r="LJ55" s="13"/>
      <c r="LK55" s="9"/>
      <c r="LL55" s="13"/>
      <c r="LM55" s="13"/>
      <c r="LN55" s="13"/>
      <c r="LO55" s="13"/>
      <c r="LP55" s="13"/>
      <c r="LQ55" s="13"/>
      <c r="LR55" s="13"/>
      <c r="LS55" s="13"/>
      <c r="LT55" s="13"/>
      <c r="LU55" s="13"/>
      <c r="LV55" s="13"/>
      <c r="LW55" s="13"/>
      <c r="LX55" s="13"/>
      <c r="LY55" s="13"/>
      <c r="LZ55" s="13"/>
      <c r="MA55" s="13"/>
      <c r="MB55" s="13"/>
      <c r="MC55" s="13"/>
      <c r="MD55" s="13"/>
      <c r="ME55" s="13"/>
      <c r="MF55" s="13"/>
      <c r="MG55" s="13"/>
      <c r="MH55" s="13"/>
      <c r="MI55" s="13"/>
      <c r="MJ55" s="13"/>
      <c r="MK55" s="13"/>
      <c r="ML55" s="13"/>
      <c r="MM55" s="13"/>
      <c r="MN55" s="13"/>
      <c r="MO55" s="13"/>
      <c r="MP55" s="13"/>
      <c r="MQ55" s="13"/>
      <c r="MR55" s="13"/>
      <c r="MS55" s="13"/>
      <c r="MT55" s="13"/>
      <c r="MU55" s="13"/>
      <c r="MV55" s="13"/>
      <c r="MW55" s="13"/>
      <c r="MX55" s="13"/>
      <c r="MY55" s="13"/>
      <c r="MZ55" s="13"/>
      <c r="NA55" s="13"/>
      <c r="NB55" s="13"/>
      <c r="NC55" s="13"/>
      <c r="ND55" s="13"/>
      <c r="NE55" s="13"/>
      <c r="NF55" s="13"/>
      <c r="NG55" s="9"/>
      <c r="NH55" s="13"/>
      <c r="NI55" s="13"/>
      <c r="NJ55" s="13"/>
      <c r="NK55" s="13"/>
      <c r="NL55" s="13"/>
      <c r="NM55" s="13"/>
      <c r="NN55" s="13"/>
      <c r="NO55" s="13"/>
      <c r="NP55" s="13"/>
      <c r="NQ55" s="13"/>
      <c r="NR55" s="13"/>
      <c r="NS55" s="13"/>
      <c r="NT55" s="13"/>
      <c r="NU55" s="13"/>
      <c r="NV55" s="13"/>
      <c r="NW55" s="13"/>
      <c r="NX55" s="13"/>
      <c r="NY55" s="13"/>
      <c r="NZ55" s="13"/>
      <c r="OA55" s="13"/>
      <c r="OB55" s="13"/>
      <c r="OC55" s="13"/>
      <c r="OD55" s="13"/>
      <c r="OE55" s="13"/>
      <c r="OF55" s="13"/>
      <c r="OG55" s="13"/>
      <c r="OH55" s="13"/>
      <c r="OI55" s="13"/>
      <c r="OJ55" s="13"/>
      <c r="OK55" s="13"/>
      <c r="OL55" s="13"/>
      <c r="OM55" s="13"/>
      <c r="ON55" s="13"/>
      <c r="OO55" s="13"/>
      <c r="OP55" s="13"/>
      <c r="OQ55" s="13"/>
      <c r="OR55" s="13"/>
      <c r="OS55" s="13"/>
      <c r="OT55" s="13"/>
      <c r="OU55" s="13"/>
      <c r="OV55" s="13"/>
      <c r="OW55" s="13"/>
      <c r="OX55" s="13"/>
      <c r="OY55" s="13"/>
      <c r="OZ55" s="13"/>
      <c r="PA55" s="9"/>
      <c r="PB55" s="13"/>
      <c r="PC55" s="13"/>
      <c r="PD55" s="13"/>
      <c r="PE55" s="13"/>
      <c r="PF55" s="13"/>
      <c r="PG55" s="13"/>
      <c r="PH55" s="13"/>
      <c r="PI55" s="13"/>
      <c r="PJ55" s="13"/>
      <c r="PK55" s="13"/>
      <c r="PL55" s="13"/>
      <c r="PM55" s="13"/>
      <c r="PN55" s="13"/>
      <c r="PO55" s="13"/>
      <c r="PP55" s="13"/>
      <c r="PQ55" s="13"/>
      <c r="PR55" s="13"/>
      <c r="PS55" s="13"/>
      <c r="PT55" s="13"/>
      <c r="PU55" s="13"/>
      <c r="PV55" s="13"/>
      <c r="PW55" s="13"/>
      <c r="PX55" s="13"/>
      <c r="PY55" s="13"/>
      <c r="PZ55" s="13"/>
      <c r="QA55" s="13"/>
      <c r="QB55" s="13"/>
      <c r="QC55" s="13"/>
      <c r="QD55" s="13"/>
      <c r="QE55" s="13"/>
      <c r="QF55" s="13"/>
      <c r="QG55" s="13"/>
      <c r="QH55" s="13"/>
      <c r="QI55" s="13"/>
      <c r="QJ55" s="13"/>
      <c r="QK55" s="9"/>
      <c r="QL55" s="13"/>
      <c r="QM55" s="13"/>
      <c r="QN55" s="13"/>
      <c r="QO55" s="13"/>
      <c r="QP55" s="13"/>
      <c r="QQ55" s="13"/>
      <c r="QR55" s="13"/>
      <c r="QS55" s="13"/>
      <c r="QT55" s="13"/>
      <c r="QU55" s="13"/>
      <c r="QV55" s="13"/>
      <c r="QW55" s="13"/>
      <c r="QX55" s="13"/>
      <c r="QY55" s="13"/>
      <c r="QZ55" s="13"/>
      <c r="RA55" s="13"/>
      <c r="RB55" s="13"/>
      <c r="RC55" s="13"/>
      <c r="RD55" s="13"/>
      <c r="RE55" s="13"/>
      <c r="RF55" s="13"/>
      <c r="RG55" s="13"/>
      <c r="RH55" s="13"/>
      <c r="RI55" s="13"/>
      <c r="RJ55" s="13"/>
      <c r="RK55" s="13"/>
      <c r="RL55" s="13"/>
      <c r="RM55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M31"/>
  <sheetViews>
    <sheetView workbookViewId="0"/>
  </sheetViews>
  <sheetFormatPr defaultRowHeight="15" x14ac:dyDescent="0.25"/>
  <cols>
    <col min="1" max="1" style="5" width="18.005" customWidth="1" bestFit="1"/>
    <col min="2" max="2" style="14" width="10.147857142857141" customWidth="1" bestFit="1"/>
    <col min="3" max="3" style="19" width="10.147857142857141" customWidth="1" bestFit="1"/>
    <col min="4" max="4" style="14" width="10.147857142857141" customWidth="1" bestFit="1"/>
    <col min="5" max="5" style="14" width="10.147857142857141" customWidth="1" bestFit="1"/>
    <col min="6" max="6" style="14" width="10.147857142857141" customWidth="1" bestFit="1"/>
    <col min="7" max="7" style="14" width="10.147857142857141" customWidth="1" bestFit="1"/>
    <col min="8" max="8" style="14" width="10.147857142857141" customWidth="1" bestFit="1"/>
    <col min="9" max="9" style="14" width="10.147857142857141" customWidth="1" bestFit="1"/>
    <col min="10" max="10" style="14" width="10.147857142857141" customWidth="1" bestFit="1"/>
    <col min="11" max="11" style="14" width="10.147857142857141" customWidth="1" bestFit="1"/>
    <col min="12" max="12" style="14" width="10.147857142857141" customWidth="1" bestFit="1"/>
    <col min="13" max="13" style="14" width="10.147857142857141" customWidth="1" bestFit="1"/>
    <col min="14" max="14" style="14" width="10.147857142857141" customWidth="1" bestFit="1"/>
    <col min="15" max="15" style="14" width="10.147857142857141" customWidth="1" bestFit="1"/>
    <col min="16" max="16" style="14" width="10.147857142857141" customWidth="1" bestFit="1"/>
    <col min="17" max="17" style="14" width="10.147857142857141" customWidth="1" bestFit="1"/>
    <col min="18" max="18" style="14" width="10.147857142857141" customWidth="1" bestFit="1"/>
    <col min="19" max="19" style="14" width="10.147857142857141" customWidth="1" bestFit="1"/>
    <col min="20" max="20" style="14" width="10.147857142857141" customWidth="1" bestFit="1"/>
    <col min="21" max="21" style="14" width="10.147857142857141" customWidth="1" bestFit="1"/>
    <col min="22" max="22" style="14" width="10.147857142857141" customWidth="1" bestFit="1"/>
    <col min="23" max="23" style="14" width="10.147857142857141" customWidth="1" bestFit="1"/>
    <col min="24" max="24" style="14" width="10.147857142857141" customWidth="1" bestFit="1"/>
    <col min="25" max="25" style="15" width="10.147857142857141" customWidth="1" bestFit="1"/>
    <col min="26" max="26" style="14" width="10.147857142857141" customWidth="1" bestFit="1"/>
    <col min="27" max="27" style="14" width="10.147857142857141" customWidth="1" bestFit="1"/>
    <col min="28" max="28" style="14" width="10.147857142857141" customWidth="1" bestFit="1"/>
    <col min="29" max="29" style="14" width="10.147857142857141" customWidth="1" bestFit="1"/>
    <col min="30" max="30" style="14" width="10.147857142857141" customWidth="1" bestFit="1"/>
    <col min="31" max="31" style="14" width="10.147857142857141" customWidth="1" bestFit="1"/>
    <col min="32" max="32" style="14" width="10.147857142857141" customWidth="1" bestFit="1"/>
    <col min="33" max="33" style="14" width="10.147857142857141" customWidth="1" bestFit="1"/>
    <col min="34" max="34" style="14" width="10.147857142857141" customWidth="1" bestFit="1"/>
    <col min="35" max="35" style="14" width="10.147857142857141" customWidth="1" bestFit="1"/>
    <col min="36" max="36" style="14" width="10.147857142857141" customWidth="1" bestFit="1"/>
    <col min="37" max="37" style="14" width="10.147857142857141" customWidth="1" bestFit="1"/>
    <col min="38" max="38" style="14" width="10.147857142857141" customWidth="1" bestFit="1"/>
    <col min="39" max="39" style="14" width="10.147857142857141" customWidth="1" bestFit="1"/>
    <col min="40" max="40" style="14" width="10.147857142857141" customWidth="1" bestFit="1"/>
    <col min="41" max="41" style="14" width="10.147857142857141" customWidth="1" bestFit="1"/>
    <col min="42" max="42" style="14" width="10.147857142857141" customWidth="1" bestFit="1"/>
    <col min="43" max="43" style="14" width="10.147857142857141" customWidth="1" bestFit="1"/>
    <col min="44" max="44" style="14" width="10.147857142857141" customWidth="1" bestFit="1"/>
    <col min="45" max="45" style="14" width="10.147857142857141" customWidth="1" bestFit="1"/>
    <col min="46" max="46" style="14" width="10.147857142857141" customWidth="1" bestFit="1"/>
    <col min="47" max="47" style="14" width="10.147857142857141" customWidth="1" bestFit="1"/>
    <col min="48" max="48" style="14" width="10.147857142857141" customWidth="1" bestFit="1"/>
    <col min="49" max="49" style="14" width="10.147857142857141" customWidth="1" bestFit="1"/>
    <col min="50" max="50" style="14" width="10.147857142857141" customWidth="1" bestFit="1"/>
    <col min="51" max="51" style="14" width="10.147857142857141" customWidth="1" bestFit="1"/>
    <col min="52" max="52" style="14" width="10.147857142857141" customWidth="1" bestFit="1"/>
    <col min="53" max="53" style="14" width="10.147857142857141" customWidth="1" bestFit="1"/>
    <col min="54" max="54" style="14" width="10.147857142857141" customWidth="1" bestFit="1"/>
    <col min="55" max="55" style="15" width="10.147857142857141" customWidth="1" bestFit="1"/>
    <col min="56" max="56" style="14" width="10.147857142857141" customWidth="1" bestFit="1"/>
    <col min="57" max="57" style="14" width="10.147857142857141" customWidth="1" bestFit="1"/>
    <col min="58" max="58" style="14" width="10.147857142857141" customWidth="1" bestFit="1"/>
    <col min="59" max="59" style="14" width="10.147857142857141" customWidth="1" bestFit="1"/>
    <col min="60" max="60" style="14" width="10.147857142857141" customWidth="1" bestFit="1"/>
    <col min="61" max="61" style="14" width="10.147857142857141" customWidth="1" bestFit="1"/>
    <col min="62" max="62" style="14" width="10.147857142857141" customWidth="1" bestFit="1"/>
    <col min="63" max="63" style="14" width="10.147857142857141" customWidth="1" bestFit="1"/>
    <col min="64" max="64" style="14" width="10.147857142857141" customWidth="1" bestFit="1"/>
    <col min="65" max="65" style="14" width="10.147857142857141" customWidth="1" bestFit="1"/>
    <col min="66" max="66" style="14" width="10.147857142857141" customWidth="1" bestFit="1"/>
    <col min="67" max="67" style="14" width="10.147857142857141" customWidth="1" bestFit="1"/>
    <col min="68" max="68" style="14" width="10.147857142857141" customWidth="1" bestFit="1"/>
    <col min="69" max="69" style="14" width="10.147857142857141" customWidth="1" bestFit="1"/>
    <col min="70" max="70" style="14" width="10.147857142857141" customWidth="1" bestFit="1"/>
    <col min="71" max="71" style="14" width="10.147857142857141" customWidth="1" bestFit="1"/>
    <col min="72" max="72" style="14" width="10.147857142857141" customWidth="1" bestFit="1"/>
    <col min="73" max="73" style="14" width="10.147857142857141" customWidth="1" bestFit="1"/>
    <col min="74" max="74" style="14" width="10.147857142857141" customWidth="1" bestFit="1"/>
    <col min="75" max="75" style="14" width="10.147857142857141" customWidth="1" bestFit="1"/>
    <col min="76" max="76" style="14" width="10.147857142857141" customWidth="1" bestFit="1"/>
    <col min="77" max="77" style="14" width="10.147857142857141" customWidth="1" bestFit="1"/>
    <col min="78" max="78" style="14" width="10.147857142857141" customWidth="1" bestFit="1"/>
    <col min="79" max="79" style="14" width="10.147857142857141" customWidth="1" bestFit="1"/>
    <col min="80" max="80" style="14" width="10.147857142857141" customWidth="1" bestFit="1"/>
    <col min="81" max="81" style="14" width="10.147857142857141" customWidth="1" bestFit="1"/>
    <col min="82" max="82" style="14" width="10.147857142857141" customWidth="1" bestFit="1"/>
    <col min="83" max="83" style="14" width="10.147857142857141" customWidth="1" bestFit="1"/>
    <col min="84" max="84" style="14" width="10.147857142857141" customWidth="1" bestFit="1"/>
    <col min="85" max="85" style="15" width="10.147857142857141" customWidth="1" bestFit="1"/>
    <col min="86" max="86" style="14" width="10.147857142857141" customWidth="1" bestFit="1"/>
    <col min="87" max="87" style="14" width="10.147857142857141" customWidth="1" bestFit="1"/>
    <col min="88" max="88" style="14" width="10.147857142857141" customWidth="1" bestFit="1"/>
    <col min="89" max="89" style="14" width="10.147857142857141" customWidth="1" bestFit="1"/>
    <col min="90" max="90" style="14" width="10.147857142857141" customWidth="1" bestFit="1"/>
    <col min="91" max="91" style="14" width="10.147857142857141" customWidth="1" bestFit="1"/>
    <col min="92" max="92" style="14" width="10.147857142857141" customWidth="1" bestFit="1"/>
    <col min="93" max="93" style="14" width="10.147857142857141" customWidth="1" bestFit="1"/>
    <col min="94" max="94" style="14" width="10.147857142857141" customWidth="1" bestFit="1"/>
    <col min="95" max="95" style="14" width="10.147857142857141" customWidth="1" bestFit="1"/>
    <col min="96" max="96" style="14" width="10.147857142857141" customWidth="1" bestFit="1"/>
    <col min="97" max="97" style="14" width="10.147857142857141" customWidth="1" bestFit="1"/>
    <col min="98" max="98" style="14" width="10.147857142857141" customWidth="1" bestFit="1"/>
    <col min="99" max="99" style="14" width="10.147857142857141" customWidth="1" bestFit="1"/>
    <col min="100" max="100" style="14" width="10.147857142857141" customWidth="1" bestFit="1"/>
    <col min="101" max="101" style="14" width="10.147857142857141" customWidth="1" bestFit="1"/>
    <col min="102" max="102" style="14" width="10.147857142857141" customWidth="1" bestFit="1"/>
    <col min="103" max="103" style="14" width="10.147857142857141" customWidth="1" bestFit="1"/>
    <col min="104" max="104" style="14" width="10.147857142857141" customWidth="1" bestFit="1"/>
    <col min="105" max="105" style="14" width="10.147857142857141" customWidth="1" bestFit="1"/>
    <col min="106" max="106" style="14" width="10.147857142857141" customWidth="1" bestFit="1"/>
    <col min="107" max="107" style="14" width="10.147857142857141" customWidth="1" bestFit="1"/>
    <col min="108" max="108" style="14" width="10.147857142857141" customWidth="1" bestFit="1"/>
    <col min="109" max="109" style="14" width="10.147857142857141" customWidth="1" bestFit="1"/>
    <col min="110" max="110" style="14" width="10.147857142857141" customWidth="1" bestFit="1"/>
    <col min="111" max="111" style="14" width="10.147857142857141" customWidth="1" bestFit="1"/>
    <col min="112" max="112" style="14" width="10.147857142857141" customWidth="1" bestFit="1"/>
    <col min="113" max="113" style="14" width="10.147857142857141" customWidth="1" bestFit="1"/>
    <col min="114" max="114" style="14" width="10.147857142857141" customWidth="1" bestFit="1"/>
    <col min="115" max="115" style="14" width="10.147857142857141" customWidth="1" bestFit="1"/>
    <col min="116" max="116" style="14" width="10.147857142857141" customWidth="1" bestFit="1"/>
    <col min="117" max="117" style="14" width="10.147857142857141" customWidth="1" bestFit="1"/>
    <col min="118" max="118" style="14" width="10.147857142857141" customWidth="1" bestFit="1"/>
    <col min="119" max="119" style="14" width="10.147857142857141" customWidth="1" bestFit="1"/>
    <col min="120" max="120" style="14" width="10.147857142857141" customWidth="1" bestFit="1"/>
    <col min="121" max="121" style="14" width="10.147857142857141" customWidth="1" bestFit="1"/>
    <col min="122" max="122" style="14" width="10.147857142857141" customWidth="1" bestFit="1"/>
    <col min="123" max="123" style="14" width="10.147857142857141" customWidth="1" bestFit="1"/>
    <col min="124" max="124" style="14" width="10.147857142857141" customWidth="1" bestFit="1"/>
    <col min="125" max="125" style="14" width="10.147857142857141" customWidth="1" bestFit="1"/>
    <col min="126" max="126" style="14" width="10.147857142857141" customWidth="1" bestFit="1"/>
    <col min="127" max="127" style="14" width="10.147857142857141" customWidth="1" bestFit="1"/>
    <col min="128" max="128" style="14" width="10.147857142857141" customWidth="1" bestFit="1"/>
    <col min="129" max="129" style="14" width="10.147857142857141" customWidth="1" bestFit="1"/>
    <col min="130" max="130" style="14" width="10.147857142857141" customWidth="1" bestFit="1"/>
    <col min="131" max="131" style="14" width="10.147857142857141" customWidth="1" bestFit="1"/>
    <col min="132" max="132" style="14" width="10.147857142857141" customWidth="1" bestFit="1"/>
    <col min="133" max="133" style="14" width="10.147857142857141" customWidth="1" bestFit="1"/>
    <col min="134" max="134" style="14" width="10.147857142857141" customWidth="1" bestFit="1"/>
    <col min="135" max="135" style="15" width="10.147857142857141" customWidth="1" bestFit="1"/>
    <col min="136" max="136" style="14" width="10.147857142857141" customWidth="1" bestFit="1"/>
    <col min="137" max="137" style="14" width="10.147857142857141" customWidth="1" bestFit="1"/>
    <col min="138" max="138" style="14" width="10.147857142857141" customWidth="1" bestFit="1"/>
    <col min="139" max="139" style="14" width="10.147857142857141" customWidth="1" bestFit="1"/>
    <col min="140" max="140" style="14" width="10.147857142857141" customWidth="1" bestFit="1"/>
    <col min="141" max="141" style="14" width="10.147857142857141" customWidth="1" bestFit="1"/>
    <col min="142" max="142" style="14" width="10.147857142857141" customWidth="1" bestFit="1"/>
    <col min="143" max="143" style="14" width="10.147857142857141" customWidth="1" bestFit="1"/>
    <col min="144" max="144" style="14" width="10.147857142857141" customWidth="1" bestFit="1"/>
    <col min="145" max="145" style="14" width="10.147857142857141" customWidth="1" bestFit="1"/>
    <col min="146" max="146" style="14" width="10.147857142857141" customWidth="1" bestFit="1"/>
    <col min="147" max="147" style="14" width="10.147857142857141" customWidth="1" bestFit="1"/>
    <col min="148" max="148" style="14" width="10.147857142857141" customWidth="1" bestFit="1"/>
    <col min="149" max="149" style="14" width="10.147857142857141" customWidth="1" bestFit="1"/>
    <col min="150" max="150" style="14" width="10.147857142857141" customWidth="1" bestFit="1"/>
    <col min="151" max="151" style="14" width="10.147857142857141" customWidth="1" bestFit="1"/>
    <col min="152" max="152" style="14" width="10.147857142857141" customWidth="1" bestFit="1"/>
    <col min="153" max="153" style="14" width="10.147857142857141" customWidth="1" bestFit="1"/>
    <col min="154" max="154" style="14" width="10.147857142857141" customWidth="1" bestFit="1"/>
    <col min="155" max="155" style="14" width="10.147857142857141" customWidth="1" bestFit="1"/>
    <col min="156" max="156" style="14" width="10.147857142857141" customWidth="1" bestFit="1"/>
    <col min="157" max="157" style="14" width="10.147857142857141" customWidth="1" bestFit="1"/>
    <col min="158" max="158" style="14" width="10.147857142857141" customWidth="1" bestFit="1"/>
    <col min="159" max="159" style="14" width="10.147857142857141" customWidth="1" bestFit="1"/>
    <col min="160" max="160" style="14" width="10.147857142857141" customWidth="1" bestFit="1"/>
    <col min="161" max="161" style="14" width="10.147857142857141" customWidth="1" bestFit="1"/>
    <col min="162" max="162" style="14" width="10.147857142857141" customWidth="1" bestFit="1"/>
    <col min="163" max="163" style="14" width="10.147857142857141" customWidth="1" bestFit="1"/>
    <col min="164" max="164" style="14" width="10.147857142857141" customWidth="1" bestFit="1"/>
    <col min="165" max="165" style="14" width="10.147857142857141" customWidth="1" bestFit="1"/>
    <col min="166" max="166" style="14" width="10.147857142857141" customWidth="1" bestFit="1"/>
    <col min="167" max="167" style="14" width="10.147857142857141" customWidth="1" bestFit="1"/>
    <col min="168" max="168" style="14" width="10.147857142857141" customWidth="1" bestFit="1"/>
    <col min="169" max="169" style="14" width="10.147857142857141" customWidth="1" bestFit="1"/>
    <col min="170" max="170" style="14" width="10.147857142857141" customWidth="1" bestFit="1"/>
    <col min="171" max="171" style="14" width="10.147857142857141" customWidth="1" bestFit="1"/>
    <col min="172" max="172" style="14" width="10.147857142857141" customWidth="1" bestFit="1"/>
    <col min="173" max="173" style="14" width="10.147857142857141" customWidth="1" bestFit="1"/>
    <col min="174" max="174" style="14" width="10.147857142857141" customWidth="1" bestFit="1"/>
    <col min="175" max="175" style="14" width="10.147857142857141" customWidth="1" bestFit="1"/>
    <col min="176" max="176" style="14" width="10.147857142857141" customWidth="1" bestFit="1"/>
    <col min="177" max="177" style="14" width="10.147857142857141" customWidth="1" bestFit="1"/>
    <col min="178" max="178" style="14" width="10.147857142857141" customWidth="1" bestFit="1"/>
    <col min="179" max="179" style="14" width="10.147857142857141" customWidth="1" bestFit="1"/>
    <col min="180" max="180" style="14" width="10.147857142857141" customWidth="1" bestFit="1"/>
    <col min="181" max="181" style="14" width="10.147857142857141" customWidth="1" bestFit="1"/>
    <col min="182" max="182" style="14" width="10.147857142857141" customWidth="1" bestFit="1"/>
    <col min="183" max="183" style="14" width="10.147857142857141" customWidth="1" bestFit="1"/>
    <col min="184" max="184" style="14" width="10.147857142857141" customWidth="1" bestFit="1"/>
    <col min="185" max="185" style="15" width="10.147857142857141" customWidth="1" bestFit="1"/>
    <col min="186" max="186" style="14" width="10.147857142857141" customWidth="1" bestFit="1"/>
    <col min="187" max="187" style="14" width="10.147857142857141" customWidth="1" bestFit="1"/>
    <col min="188" max="188" style="14" width="10.147857142857141" customWidth="1" bestFit="1"/>
    <col min="189" max="189" style="14" width="10.147857142857141" customWidth="1" bestFit="1"/>
    <col min="190" max="190" style="14" width="10.147857142857141" customWidth="1" bestFit="1"/>
    <col min="191" max="191" style="14" width="10.147857142857141" customWidth="1" bestFit="1"/>
    <col min="192" max="192" style="14" width="10.147857142857141" customWidth="1" bestFit="1"/>
    <col min="193" max="193" style="14" width="10.147857142857141" customWidth="1" bestFit="1"/>
    <col min="194" max="194" style="14" width="10.147857142857141" customWidth="1" bestFit="1"/>
    <col min="195" max="195" style="14" width="10.147857142857141" customWidth="1" bestFit="1"/>
    <col min="196" max="196" style="14" width="10.147857142857141" customWidth="1" bestFit="1"/>
    <col min="197" max="197" style="14" width="10.147857142857141" customWidth="1" bestFit="1"/>
    <col min="198" max="198" style="14" width="10.147857142857141" customWidth="1" bestFit="1"/>
    <col min="199" max="199" style="14" width="10.147857142857141" customWidth="1" bestFit="1"/>
    <col min="200" max="200" style="14" width="10.147857142857141" customWidth="1" bestFit="1"/>
    <col min="201" max="201" style="14" width="10.147857142857141" customWidth="1" bestFit="1"/>
    <col min="202" max="202" style="14" width="10.147857142857141" customWidth="1" bestFit="1"/>
    <col min="203" max="203" style="14" width="10.147857142857141" customWidth="1" bestFit="1"/>
    <col min="204" max="204" style="14" width="10.147857142857141" customWidth="1" bestFit="1"/>
    <col min="205" max="205" style="14" width="10.147857142857141" customWidth="1" bestFit="1"/>
    <col min="206" max="206" style="14" width="10.147857142857141" customWidth="1" bestFit="1"/>
    <col min="207" max="207" style="14" width="10.147857142857141" customWidth="1" bestFit="1"/>
    <col min="208" max="208" style="14" width="10.147857142857141" customWidth="1" bestFit="1"/>
    <col min="209" max="209" style="14" width="10.147857142857141" customWidth="1" bestFit="1"/>
    <col min="210" max="210" style="14" width="10.147857142857141" customWidth="1" bestFit="1"/>
    <col min="211" max="211" style="14" width="10.147857142857141" customWidth="1" bestFit="1"/>
    <col min="212" max="212" style="14" width="10.147857142857141" customWidth="1" bestFit="1"/>
    <col min="213" max="213" style="14" width="10.147857142857141" customWidth="1" bestFit="1"/>
    <col min="214" max="214" style="14" width="10.147857142857141" customWidth="1" bestFit="1"/>
    <col min="215" max="215" style="14" width="10.147857142857141" customWidth="1" bestFit="1"/>
    <col min="216" max="216" style="14" width="10.147857142857141" customWidth="1" bestFit="1"/>
    <col min="217" max="217" style="14" width="10.147857142857141" customWidth="1" bestFit="1"/>
    <col min="218" max="218" style="14" width="10.147857142857141" customWidth="1" bestFit="1"/>
    <col min="219" max="219" style="14" width="10.147857142857141" customWidth="1" bestFit="1"/>
    <col min="220" max="220" style="14" width="10.147857142857141" customWidth="1" bestFit="1"/>
    <col min="221" max="221" style="14" width="10.147857142857141" customWidth="1" bestFit="1"/>
    <col min="222" max="222" style="14" width="10.147857142857141" customWidth="1" bestFit="1"/>
    <col min="223" max="223" style="14" width="10.147857142857141" customWidth="1" bestFit="1"/>
    <col min="224" max="224" style="14" width="10.147857142857141" customWidth="1" bestFit="1"/>
    <col min="225" max="225" style="14" width="10.147857142857141" customWidth="1" bestFit="1"/>
    <col min="226" max="226" style="14" width="10.147857142857141" customWidth="1" bestFit="1"/>
    <col min="227" max="227" style="14" width="10.147857142857141" customWidth="1" bestFit="1"/>
    <col min="228" max="228" style="14" width="10.147857142857141" customWidth="1" bestFit="1"/>
    <col min="229" max="229" style="14" width="10.147857142857141" customWidth="1" bestFit="1"/>
    <col min="230" max="230" style="14" width="10.147857142857141" customWidth="1" bestFit="1"/>
    <col min="231" max="231" style="14" width="10.147857142857141" customWidth="1" bestFit="1"/>
    <col min="232" max="232" style="14" width="10.147857142857141" customWidth="1" bestFit="1"/>
    <col min="233" max="233" style="14" width="10.147857142857141" customWidth="1" bestFit="1"/>
    <col min="234" max="234" style="14" width="10.147857142857141" customWidth="1" bestFit="1"/>
    <col min="235" max="235" style="14" width="10.147857142857141" customWidth="1" bestFit="1"/>
    <col min="236" max="236" style="14" width="10.147857142857141" customWidth="1" bestFit="1"/>
    <col min="237" max="237" style="15" width="10.147857142857141" customWidth="1" bestFit="1"/>
    <col min="238" max="238" style="14" width="10.147857142857141" customWidth="1" bestFit="1"/>
    <col min="239" max="239" style="14" width="10.147857142857141" customWidth="1" bestFit="1"/>
    <col min="240" max="240" style="14" width="10.147857142857141" customWidth="1" bestFit="1"/>
    <col min="241" max="241" style="14" width="10.147857142857141" customWidth="1" bestFit="1"/>
    <col min="242" max="242" style="14" width="10.147857142857141" customWidth="1" bestFit="1"/>
    <col min="243" max="243" style="14" width="10.147857142857141" customWidth="1" bestFit="1"/>
    <col min="244" max="244" style="14" width="10.147857142857141" customWidth="1" bestFit="1"/>
    <col min="245" max="245" style="14" width="10.147857142857141" customWidth="1" bestFit="1"/>
    <col min="246" max="246" style="14" width="10.147857142857141" customWidth="1" bestFit="1"/>
    <col min="247" max="247" style="14" width="10.147857142857141" customWidth="1" bestFit="1"/>
    <col min="248" max="248" style="14" width="10.147857142857141" customWidth="1" bestFit="1"/>
    <col min="249" max="249" style="14" width="10.147857142857141" customWidth="1" bestFit="1"/>
    <col min="250" max="250" style="14" width="10.147857142857141" customWidth="1" bestFit="1"/>
    <col min="251" max="251" style="14" width="10.147857142857141" customWidth="1" bestFit="1"/>
    <col min="252" max="252" style="14" width="10.147857142857141" customWidth="1" bestFit="1"/>
    <col min="253" max="253" style="14" width="10.147857142857141" customWidth="1" bestFit="1"/>
    <col min="254" max="254" style="14" width="10.147857142857141" customWidth="1" bestFit="1"/>
    <col min="255" max="255" style="14" width="10.147857142857141" customWidth="1" bestFit="1"/>
    <col min="256" max="256" style="14" width="10.147857142857141" customWidth="1" bestFit="1"/>
    <col min="257" max="257" style="14" width="10.147857142857141" customWidth="1" bestFit="1"/>
    <col min="258" max="258" style="14" width="10.147857142857141" customWidth="1" bestFit="1"/>
    <col min="259" max="259" style="14" width="10.147857142857141" customWidth="1" bestFit="1"/>
    <col min="260" max="260" style="14" width="10.147857142857141" customWidth="1" bestFit="1"/>
    <col min="261" max="261" style="14" width="10.147857142857141" customWidth="1" bestFit="1"/>
    <col min="262" max="262" style="14" width="10.147857142857141" customWidth="1" bestFit="1"/>
    <col min="263" max="263" style="14" width="10.147857142857141" customWidth="1" bestFit="1"/>
    <col min="264" max="264" style="14" width="10.147857142857141" customWidth="1" bestFit="1"/>
    <col min="265" max="265" style="14" width="10.147857142857141" customWidth="1" bestFit="1"/>
    <col min="266" max="266" style="14" width="10.147857142857141" customWidth="1" bestFit="1"/>
    <col min="267" max="267" style="14" width="10.147857142857141" customWidth="1" bestFit="1"/>
    <col min="268" max="268" style="14" width="10.147857142857141" customWidth="1" bestFit="1"/>
    <col min="269" max="269" style="14" width="10.147857142857141" customWidth="1" bestFit="1"/>
    <col min="270" max="270" style="14" width="10.147857142857141" customWidth="1" bestFit="1"/>
    <col min="271" max="271" style="14" width="10.147857142857141" customWidth="1" bestFit="1"/>
    <col min="272" max="272" style="14" width="10.147857142857141" customWidth="1" bestFit="1"/>
    <col min="273" max="273" style="14" width="10.147857142857141" customWidth="1" bestFit="1"/>
    <col min="274" max="274" style="14" width="10.147857142857141" customWidth="1" bestFit="1"/>
    <col min="275" max="275" style="14" width="10.147857142857141" customWidth="1" bestFit="1"/>
    <col min="276" max="276" style="14" width="10.147857142857141" customWidth="1" bestFit="1"/>
    <col min="277" max="277" style="15" width="10.147857142857141" customWidth="1" bestFit="1"/>
    <col min="278" max="278" style="14" width="10.147857142857141" customWidth="1" bestFit="1"/>
    <col min="279" max="279" style="14" width="10.147857142857141" customWidth="1" bestFit="1"/>
    <col min="280" max="280" style="14" width="10.147857142857141" customWidth="1" bestFit="1"/>
    <col min="281" max="281" style="14" width="10.147857142857141" customWidth="1" bestFit="1"/>
    <col min="282" max="282" style="14" width="10.147857142857141" customWidth="1" bestFit="1"/>
    <col min="283" max="283" style="14" width="10.147857142857141" customWidth="1" bestFit="1"/>
    <col min="284" max="284" style="14" width="10.147857142857141" customWidth="1" bestFit="1"/>
    <col min="285" max="285" style="14" width="10.147857142857141" customWidth="1" bestFit="1"/>
    <col min="286" max="286" style="14" width="10.147857142857141" customWidth="1" bestFit="1"/>
    <col min="287" max="287" style="14" width="10.147857142857141" customWidth="1" bestFit="1"/>
    <col min="288" max="288" style="14" width="10.147857142857141" customWidth="1" bestFit="1"/>
    <col min="289" max="289" style="14" width="10.147857142857141" customWidth="1" bestFit="1"/>
    <col min="290" max="290" style="14" width="10.147857142857141" customWidth="1" bestFit="1"/>
    <col min="291" max="291" style="14" width="10.147857142857141" customWidth="1" bestFit="1"/>
    <col min="292" max="292" style="14" width="10.147857142857141" customWidth="1" bestFit="1"/>
    <col min="293" max="293" style="14" width="10.147857142857141" customWidth="1" bestFit="1"/>
    <col min="294" max="294" style="14" width="10.147857142857141" customWidth="1" bestFit="1"/>
    <col min="295" max="295" style="14" width="10.147857142857141" customWidth="1" bestFit="1"/>
    <col min="296" max="296" style="14" width="10.147857142857141" customWidth="1" bestFit="1"/>
    <col min="297" max="297" style="14" width="10.147857142857141" customWidth="1" bestFit="1"/>
    <col min="298" max="298" style="14" width="10.147857142857141" customWidth="1" bestFit="1"/>
    <col min="299" max="299" style="14" width="10.147857142857141" customWidth="1" bestFit="1"/>
    <col min="300" max="300" style="14" width="10.147857142857141" customWidth="1" bestFit="1"/>
    <col min="301" max="301" style="14" width="10.147857142857141" customWidth="1" bestFit="1"/>
    <col min="302" max="302" style="14" width="10.147857142857141" customWidth="1" bestFit="1"/>
    <col min="303" max="303" style="14" width="10.147857142857141" customWidth="1" bestFit="1"/>
    <col min="304" max="304" style="14" width="10.147857142857141" customWidth="1" bestFit="1"/>
    <col min="305" max="305" style="14" width="10.147857142857141" customWidth="1" bestFit="1"/>
    <col min="306" max="306" style="14" width="10.147857142857141" customWidth="1" bestFit="1"/>
    <col min="307" max="307" style="14" width="10.147857142857141" customWidth="1" bestFit="1"/>
    <col min="308" max="308" style="14" width="10.147857142857141" customWidth="1" bestFit="1"/>
    <col min="309" max="309" style="14" width="10.147857142857141" customWidth="1" bestFit="1"/>
    <col min="310" max="310" style="14" width="10.147857142857141" customWidth="1" bestFit="1"/>
    <col min="311" max="311" style="14" width="10.147857142857141" customWidth="1" bestFit="1"/>
    <col min="312" max="312" style="14" width="10.147857142857141" customWidth="1" bestFit="1"/>
    <col min="313" max="313" style="14" width="10.147857142857141" customWidth="1" bestFit="1"/>
    <col min="314" max="314" style="14" width="10.147857142857141" customWidth="1" bestFit="1"/>
    <col min="315" max="315" style="14" width="10.147857142857141" customWidth="1" bestFit="1"/>
    <col min="316" max="316" style="14" width="10.147857142857141" customWidth="1" bestFit="1"/>
    <col min="317" max="317" style="15" width="10.147857142857141" customWidth="1" bestFit="1"/>
    <col min="318" max="318" style="14" width="10.147857142857141" customWidth="1" bestFit="1"/>
    <col min="319" max="319" style="14" width="10.147857142857141" customWidth="1" bestFit="1"/>
    <col min="320" max="320" style="14" width="10.147857142857141" customWidth="1" bestFit="1"/>
    <col min="321" max="321" style="14" width="10.147857142857141" customWidth="1" bestFit="1"/>
    <col min="322" max="322" style="14" width="10.147857142857141" customWidth="1" bestFit="1"/>
    <col min="323" max="323" style="14" width="10.147857142857141" customWidth="1" bestFit="1"/>
    <col min="324" max="324" style="14" width="10.147857142857141" customWidth="1" bestFit="1"/>
    <col min="325" max="325" style="14" width="10.147857142857141" customWidth="1" bestFit="1"/>
    <col min="326" max="326" style="14" width="10.147857142857141" customWidth="1" bestFit="1"/>
    <col min="327" max="327" style="14" width="10.147857142857141" customWidth="1" bestFit="1"/>
    <col min="328" max="328" style="14" width="10.147857142857141" customWidth="1" bestFit="1"/>
    <col min="329" max="329" style="14" width="10.147857142857141" customWidth="1" bestFit="1"/>
    <col min="330" max="330" style="14" width="10.147857142857141" customWidth="1" bestFit="1"/>
    <col min="331" max="331" style="14" width="10.147857142857141" customWidth="1" bestFit="1"/>
    <col min="332" max="332" style="14" width="10.147857142857141" customWidth="1" bestFit="1"/>
    <col min="333" max="333" style="14" width="10.147857142857141" customWidth="1" bestFit="1"/>
    <col min="334" max="334" style="14" width="10.147857142857141" customWidth="1" bestFit="1"/>
    <col min="335" max="335" style="14" width="10.147857142857141" customWidth="1" bestFit="1"/>
    <col min="336" max="336" style="14" width="10.147857142857141" customWidth="1" bestFit="1"/>
    <col min="337" max="337" style="14" width="10.147857142857141" customWidth="1" bestFit="1"/>
    <col min="338" max="338" style="14" width="10.147857142857141" customWidth="1" bestFit="1"/>
    <col min="339" max="339" style="14" width="10.147857142857141" customWidth="1" bestFit="1"/>
    <col min="340" max="340" style="14" width="10.147857142857141" customWidth="1" bestFit="1"/>
    <col min="341" max="341" style="14" width="10.147857142857141" customWidth="1" bestFit="1"/>
    <col min="342" max="342" style="14" width="10.147857142857141" customWidth="1" bestFit="1"/>
    <col min="343" max="343" style="14" width="10.147857142857141" customWidth="1" bestFit="1"/>
    <col min="344" max="344" style="14" width="10.147857142857141" customWidth="1" bestFit="1"/>
    <col min="345" max="345" style="14" width="10.147857142857141" customWidth="1" bestFit="1"/>
    <col min="346" max="346" style="14" width="10.147857142857141" customWidth="1" bestFit="1"/>
    <col min="347" max="347" style="14" width="10.147857142857141" customWidth="1" bestFit="1"/>
    <col min="348" max="348" style="14" width="10.147857142857141" customWidth="1" bestFit="1"/>
    <col min="349" max="349" style="14" width="10.147857142857141" customWidth="1" bestFit="1"/>
    <col min="350" max="350" style="14" width="10.147857142857141" customWidth="1" bestFit="1"/>
    <col min="351" max="351" style="14" width="10.147857142857141" customWidth="1" bestFit="1"/>
    <col min="352" max="352" style="14" width="10.147857142857141" customWidth="1" bestFit="1"/>
    <col min="353" max="353" style="14" width="10.147857142857141" customWidth="1" bestFit="1"/>
    <col min="354" max="354" style="14" width="10.147857142857141" customWidth="1" bestFit="1"/>
    <col min="355" max="355" style="15" width="10.147857142857141" customWidth="1" bestFit="1"/>
    <col min="356" max="356" style="14" width="10.147857142857141" customWidth="1" bestFit="1"/>
    <col min="357" max="357" style="14" width="10.147857142857141" customWidth="1" bestFit="1"/>
    <col min="358" max="358" style="14" width="10.147857142857141" customWidth="1" bestFit="1"/>
    <col min="359" max="359" style="14" width="10.147857142857141" customWidth="1" bestFit="1"/>
    <col min="360" max="360" style="14" width="10.147857142857141" customWidth="1" bestFit="1"/>
    <col min="361" max="361" style="14" width="10.147857142857141" customWidth="1" bestFit="1"/>
    <col min="362" max="362" style="14" width="10.147857142857141" customWidth="1" bestFit="1"/>
    <col min="363" max="363" style="14" width="10.147857142857141" customWidth="1" bestFit="1"/>
    <col min="364" max="364" style="14" width="10.147857142857141" customWidth="1" bestFit="1"/>
    <col min="365" max="365" style="14" width="10.147857142857141" customWidth="1" bestFit="1"/>
    <col min="366" max="366" style="14" width="10.147857142857141" customWidth="1" bestFit="1"/>
    <col min="367" max="367" style="14" width="10.147857142857141" customWidth="1" bestFit="1"/>
    <col min="368" max="368" style="14" width="10.147857142857141" customWidth="1" bestFit="1"/>
    <col min="369" max="369" style="14" width="10.147857142857141" customWidth="1" bestFit="1"/>
    <col min="370" max="370" style="14" width="10.147857142857141" customWidth="1" bestFit="1"/>
    <col min="371" max="371" style="14" width="10.147857142857141" customWidth="1" bestFit="1"/>
    <col min="372" max="372" style="14" width="10.147857142857141" customWidth="1" bestFit="1"/>
    <col min="373" max="373" style="14" width="10.147857142857141" customWidth="1" bestFit="1"/>
    <col min="374" max="374" style="14" width="10.147857142857141" customWidth="1" bestFit="1"/>
    <col min="375" max="375" style="14" width="10.147857142857141" customWidth="1" bestFit="1"/>
    <col min="376" max="376" style="14" width="10.147857142857141" customWidth="1" bestFit="1"/>
    <col min="377" max="377" style="14" width="10.147857142857141" customWidth="1" bestFit="1"/>
    <col min="378" max="378" style="14" width="10.147857142857141" customWidth="1" bestFit="1"/>
    <col min="379" max="379" style="14" width="10.147857142857141" customWidth="1" bestFit="1"/>
    <col min="380" max="380" style="14" width="10.147857142857141" customWidth="1" bestFit="1"/>
    <col min="381" max="381" style="14" width="10.147857142857141" customWidth="1" bestFit="1"/>
    <col min="382" max="382" style="14" width="10.147857142857141" customWidth="1" bestFit="1"/>
    <col min="383" max="383" style="15" width="10.147857142857141" customWidth="1" bestFit="1"/>
    <col min="384" max="384" style="14" width="10.147857142857141" customWidth="1" bestFit="1"/>
    <col min="385" max="385" style="14" width="10.147857142857141" customWidth="1" bestFit="1"/>
    <col min="386" max="386" style="14" width="10.147857142857141" customWidth="1" bestFit="1"/>
    <col min="387" max="387" style="14" width="10.147857142857141" customWidth="1" bestFit="1"/>
    <col min="388" max="388" style="14" width="10.147857142857141" customWidth="1" bestFit="1"/>
    <col min="389" max="389" style="14" width="10.147857142857141" customWidth="1" bestFit="1"/>
    <col min="390" max="390" style="14" width="10.147857142857141" customWidth="1" bestFit="1"/>
    <col min="391" max="391" style="14" width="10.147857142857141" customWidth="1" bestFit="1"/>
    <col min="392" max="392" style="14" width="10.147857142857141" customWidth="1" bestFit="1"/>
    <col min="393" max="393" style="14" width="10.147857142857141" customWidth="1" bestFit="1"/>
    <col min="394" max="394" style="14" width="10.147857142857141" customWidth="1" bestFit="1"/>
    <col min="395" max="395" style="14" width="10.147857142857141" customWidth="1" bestFit="1"/>
    <col min="396" max="396" style="14" width="10.147857142857141" customWidth="1" bestFit="1"/>
    <col min="397" max="397" style="14" width="10.147857142857141" customWidth="1" bestFit="1"/>
    <col min="398" max="398" style="14" width="10.147857142857141" customWidth="1" bestFit="1"/>
    <col min="399" max="399" style="14" width="10.147857142857141" customWidth="1" bestFit="1"/>
    <col min="400" max="400" style="14" width="10.147857142857141" customWidth="1" bestFit="1"/>
    <col min="401" max="401" style="14" width="10.147857142857141" customWidth="1" bestFit="1"/>
    <col min="402" max="402" style="14" width="10.147857142857141" customWidth="1" bestFit="1"/>
    <col min="403" max="403" style="14" width="10.147857142857141" customWidth="1" bestFit="1"/>
  </cols>
  <sheetData>
    <row x14ac:dyDescent="0.25" r="1" customHeight="1" ht="18" customFormat="1" s="8">
      <c r="A1" s="9" t="s">
        <v>0</v>
      </c>
      <c r="B1" s="10" t="s">
        <v>1</v>
      </c>
      <c r="C1" s="16" t="s">
        <v>2</v>
      </c>
      <c r="D1" s="10" t="s">
        <v>515</v>
      </c>
      <c r="E1" s="10" t="s">
        <v>516</v>
      </c>
      <c r="F1" s="10" t="s">
        <v>517</v>
      </c>
      <c r="G1" s="10" t="s">
        <v>518</v>
      </c>
      <c r="H1" s="10" t="s">
        <v>519</v>
      </c>
      <c r="I1" s="10" t="s">
        <v>173</v>
      </c>
      <c r="J1" s="10" t="s">
        <v>174</v>
      </c>
      <c r="K1" s="10" t="s">
        <v>175</v>
      </c>
      <c r="L1" s="10" t="s">
        <v>3</v>
      </c>
      <c r="M1" s="10" t="s">
        <v>520</v>
      </c>
      <c r="N1" s="10" t="s">
        <v>521</v>
      </c>
      <c r="O1" s="10" t="s">
        <v>522</v>
      </c>
      <c r="P1" s="10" t="s">
        <v>523</v>
      </c>
      <c r="Q1" s="10" t="s">
        <v>524</v>
      </c>
      <c r="R1" s="10" t="s">
        <v>179</v>
      </c>
      <c r="S1" s="10" t="s">
        <v>180</v>
      </c>
      <c r="T1" s="10" t="s">
        <v>181</v>
      </c>
      <c r="U1" s="10" t="s">
        <v>4</v>
      </c>
      <c r="V1" s="10" t="s">
        <v>5</v>
      </c>
      <c r="W1" s="10" t="s">
        <v>6</v>
      </c>
      <c r="X1" s="10" t="s">
        <v>7</v>
      </c>
      <c r="Y1" s="11" t="s">
        <v>8</v>
      </c>
      <c r="Z1" s="10" t="s">
        <v>525</v>
      </c>
      <c r="AA1" s="10" t="s">
        <v>526</v>
      </c>
      <c r="AB1" s="10" t="s">
        <v>527</v>
      </c>
      <c r="AC1" s="10" t="s">
        <v>528</v>
      </c>
      <c r="AD1" s="10" t="s">
        <v>529</v>
      </c>
      <c r="AE1" s="10" t="s">
        <v>530</v>
      </c>
      <c r="AF1" s="10" t="s">
        <v>531</v>
      </c>
      <c r="AG1" s="10" t="s">
        <v>532</v>
      </c>
      <c r="AH1" s="10" t="s">
        <v>533</v>
      </c>
      <c r="AI1" s="10" t="s">
        <v>185</v>
      </c>
      <c r="AJ1" s="10" t="s">
        <v>186</v>
      </c>
      <c r="AK1" s="10" t="s">
        <v>187</v>
      </c>
      <c r="AL1" s="10" t="s">
        <v>9</v>
      </c>
      <c r="AM1" s="10" t="s">
        <v>534</v>
      </c>
      <c r="AN1" s="10" t="s">
        <v>535</v>
      </c>
      <c r="AO1" s="10" t="s">
        <v>536</v>
      </c>
      <c r="AP1" s="10" t="s">
        <v>537</v>
      </c>
      <c r="AQ1" s="10" t="s">
        <v>538</v>
      </c>
      <c r="AR1" s="10" t="s">
        <v>539</v>
      </c>
      <c r="AS1" s="10" t="s">
        <v>540</v>
      </c>
      <c r="AT1" s="10" t="s">
        <v>541</v>
      </c>
      <c r="AU1" s="10" t="s">
        <v>542</v>
      </c>
      <c r="AV1" s="10" t="s">
        <v>191</v>
      </c>
      <c r="AW1" s="10" t="s">
        <v>192</v>
      </c>
      <c r="AX1" s="10" t="s">
        <v>193</v>
      </c>
      <c r="AY1" s="10" t="s">
        <v>10</v>
      </c>
      <c r="AZ1" s="10" t="s">
        <v>11</v>
      </c>
      <c r="BA1" s="10" t="s">
        <v>12</v>
      </c>
      <c r="BB1" s="10" t="s">
        <v>13</v>
      </c>
      <c r="BC1" s="11" t="s">
        <v>14</v>
      </c>
      <c r="BD1" s="10" t="s">
        <v>543</v>
      </c>
      <c r="BE1" s="10" t="s">
        <v>544</v>
      </c>
      <c r="BF1" s="10" t="s">
        <v>545</v>
      </c>
      <c r="BG1" s="10" t="s">
        <v>546</v>
      </c>
      <c r="BH1" s="10" t="s">
        <v>547</v>
      </c>
      <c r="BI1" s="10" t="s">
        <v>548</v>
      </c>
      <c r="BJ1" s="10" t="s">
        <v>549</v>
      </c>
      <c r="BK1" s="10" t="s">
        <v>550</v>
      </c>
      <c r="BL1" s="10" t="s">
        <v>551</v>
      </c>
      <c r="BM1" s="10" t="s">
        <v>197</v>
      </c>
      <c r="BN1" s="10" t="s">
        <v>198</v>
      </c>
      <c r="BO1" s="10" t="s">
        <v>199</v>
      </c>
      <c r="BP1" s="10" t="s">
        <v>15</v>
      </c>
      <c r="BQ1" s="10" t="s">
        <v>552</v>
      </c>
      <c r="BR1" s="10" t="s">
        <v>553</v>
      </c>
      <c r="BS1" s="10" t="s">
        <v>554</v>
      </c>
      <c r="BT1" s="10" t="s">
        <v>555</v>
      </c>
      <c r="BU1" s="10" t="s">
        <v>556</v>
      </c>
      <c r="BV1" s="10" t="s">
        <v>557</v>
      </c>
      <c r="BW1" s="10" t="s">
        <v>558</v>
      </c>
      <c r="BX1" s="10" t="s">
        <v>559</v>
      </c>
      <c r="BY1" s="10" t="s">
        <v>560</v>
      </c>
      <c r="BZ1" s="10" t="s">
        <v>203</v>
      </c>
      <c r="CA1" s="10" t="s">
        <v>204</v>
      </c>
      <c r="CB1" s="10" t="s">
        <v>205</v>
      </c>
      <c r="CC1" s="10" t="s">
        <v>16</v>
      </c>
      <c r="CD1" s="10" t="s">
        <v>17</v>
      </c>
      <c r="CE1" s="10" t="s">
        <v>18</v>
      </c>
      <c r="CF1" s="10" t="s">
        <v>19</v>
      </c>
      <c r="CG1" s="11" t="s">
        <v>20</v>
      </c>
      <c r="CH1" s="10" t="s">
        <v>561</v>
      </c>
      <c r="CI1" s="10" t="s">
        <v>562</v>
      </c>
      <c r="CJ1" s="10" t="s">
        <v>563</v>
      </c>
      <c r="CK1" s="10" t="s">
        <v>564</v>
      </c>
      <c r="CL1" s="10" t="s">
        <v>565</v>
      </c>
      <c r="CM1" s="10" t="s">
        <v>357</v>
      </c>
      <c r="CN1" s="10" t="s">
        <v>355</v>
      </c>
      <c r="CO1" s="10" t="s">
        <v>566</v>
      </c>
      <c r="CP1" s="10" t="s">
        <v>567</v>
      </c>
      <c r="CQ1" s="10" t="s">
        <v>568</v>
      </c>
      <c r="CR1" s="10" t="s">
        <v>569</v>
      </c>
      <c r="CS1" s="10" t="s">
        <v>356</v>
      </c>
      <c r="CT1" s="10" t="s">
        <v>358</v>
      </c>
      <c r="CU1" s="10" t="s">
        <v>570</v>
      </c>
      <c r="CV1" s="10" t="s">
        <v>209</v>
      </c>
      <c r="CW1" s="10" t="s">
        <v>210</v>
      </c>
      <c r="CX1" s="10" t="s">
        <v>211</v>
      </c>
      <c r="CY1" s="10" t="s">
        <v>21</v>
      </c>
      <c r="CZ1" s="10" t="s">
        <v>571</v>
      </c>
      <c r="DA1" s="10" t="s">
        <v>572</v>
      </c>
      <c r="DB1" s="10" t="s">
        <v>573</v>
      </c>
      <c r="DC1" s="10" t="s">
        <v>22</v>
      </c>
      <c r="DD1" s="10" t="s">
        <v>23</v>
      </c>
      <c r="DE1" s="10" t="s">
        <v>574</v>
      </c>
      <c r="DF1" s="10" t="s">
        <v>575</v>
      </c>
      <c r="DG1" s="10" t="s">
        <v>576</v>
      </c>
      <c r="DH1" s="10" t="s">
        <v>577</v>
      </c>
      <c r="DI1" s="10" t="s">
        <v>578</v>
      </c>
      <c r="DJ1" s="10" t="s">
        <v>361</v>
      </c>
      <c r="DK1" s="10" t="s">
        <v>359</v>
      </c>
      <c r="DL1" s="10" t="s">
        <v>579</v>
      </c>
      <c r="DM1" s="10" t="s">
        <v>580</v>
      </c>
      <c r="DN1" s="10" t="s">
        <v>581</v>
      </c>
      <c r="DO1" s="10" t="s">
        <v>582</v>
      </c>
      <c r="DP1" s="10" t="s">
        <v>360</v>
      </c>
      <c r="DQ1" s="10" t="s">
        <v>362</v>
      </c>
      <c r="DR1" s="10" t="s">
        <v>583</v>
      </c>
      <c r="DS1" s="10" t="s">
        <v>215</v>
      </c>
      <c r="DT1" s="10" t="s">
        <v>216</v>
      </c>
      <c r="DU1" s="10" t="s">
        <v>217</v>
      </c>
      <c r="DV1" s="10" t="s">
        <v>24</v>
      </c>
      <c r="DW1" s="10" t="s">
        <v>584</v>
      </c>
      <c r="DX1" s="10" t="s">
        <v>585</v>
      </c>
      <c r="DY1" s="10" t="s">
        <v>586</v>
      </c>
      <c r="DZ1" s="10" t="s">
        <v>25</v>
      </c>
      <c r="EA1" s="10" t="s">
        <v>26</v>
      </c>
      <c r="EB1" s="10" t="s">
        <v>27</v>
      </c>
      <c r="EC1" s="10" t="s">
        <v>28</v>
      </c>
      <c r="ED1" s="10" t="s">
        <v>29</v>
      </c>
      <c r="EE1" s="11" t="s">
        <v>30</v>
      </c>
      <c r="EF1" s="10" t="s">
        <v>587</v>
      </c>
      <c r="EG1" s="10" t="s">
        <v>588</v>
      </c>
      <c r="EH1" s="10" t="s">
        <v>589</v>
      </c>
      <c r="EI1" s="10" t="s">
        <v>590</v>
      </c>
      <c r="EJ1" s="10" t="s">
        <v>591</v>
      </c>
      <c r="EK1" s="10" t="s">
        <v>366</v>
      </c>
      <c r="EL1" s="10" t="s">
        <v>363</v>
      </c>
      <c r="EM1" s="10" t="s">
        <v>592</v>
      </c>
      <c r="EN1" s="10" t="s">
        <v>593</v>
      </c>
      <c r="EO1" s="10" t="s">
        <v>594</v>
      </c>
      <c r="EP1" s="10" t="s">
        <v>595</v>
      </c>
      <c r="EQ1" s="10" t="s">
        <v>365</v>
      </c>
      <c r="ER1" s="10" t="s">
        <v>367</v>
      </c>
      <c r="ES1" s="10" t="s">
        <v>596</v>
      </c>
      <c r="ET1" s="10" t="s">
        <v>221</v>
      </c>
      <c r="EU1" s="10" t="s">
        <v>222</v>
      </c>
      <c r="EV1" s="10" t="s">
        <v>223</v>
      </c>
      <c r="EW1" s="10" t="s">
        <v>31</v>
      </c>
      <c r="EX1" s="10" t="s">
        <v>597</v>
      </c>
      <c r="EY1" s="10" t="s">
        <v>598</v>
      </c>
      <c r="EZ1" s="10" t="s">
        <v>599</v>
      </c>
      <c r="FA1" s="10" t="s">
        <v>32</v>
      </c>
      <c r="FB1" s="10" t="s">
        <v>33</v>
      </c>
      <c r="FC1" s="10" t="s">
        <v>600</v>
      </c>
      <c r="FD1" s="10" t="s">
        <v>601</v>
      </c>
      <c r="FE1" s="10" t="s">
        <v>602</v>
      </c>
      <c r="FF1" s="10" t="s">
        <v>603</v>
      </c>
      <c r="FG1" s="10" t="s">
        <v>604</v>
      </c>
      <c r="FH1" s="10" t="s">
        <v>372</v>
      </c>
      <c r="FI1" s="10" t="s">
        <v>369</v>
      </c>
      <c r="FJ1" s="10" t="s">
        <v>605</v>
      </c>
      <c r="FK1" s="10" t="s">
        <v>606</v>
      </c>
      <c r="FL1" s="10" t="s">
        <v>607</v>
      </c>
      <c r="FM1" s="10" t="s">
        <v>608</v>
      </c>
      <c r="FN1" s="10" t="s">
        <v>371</v>
      </c>
      <c r="FO1" s="10" t="s">
        <v>373</v>
      </c>
      <c r="FP1" s="10" t="s">
        <v>609</v>
      </c>
      <c r="FQ1" s="10" t="s">
        <v>227</v>
      </c>
      <c r="FR1" s="10" t="s">
        <v>228</v>
      </c>
      <c r="FS1" s="10" t="s">
        <v>229</v>
      </c>
      <c r="FT1" s="10" t="s">
        <v>34</v>
      </c>
      <c r="FU1" s="10" t="s">
        <v>610</v>
      </c>
      <c r="FV1" s="10" t="s">
        <v>611</v>
      </c>
      <c r="FW1" s="10" t="s">
        <v>612</v>
      </c>
      <c r="FX1" s="10" t="s">
        <v>35</v>
      </c>
      <c r="FY1" s="10" t="s">
        <v>36</v>
      </c>
      <c r="FZ1" s="10" t="s">
        <v>37</v>
      </c>
      <c r="GA1" s="10" t="s">
        <v>38</v>
      </c>
      <c r="GB1" s="10" t="s">
        <v>39</v>
      </c>
      <c r="GC1" s="11" t="s">
        <v>40</v>
      </c>
      <c r="GD1" s="10" t="s">
        <v>613</v>
      </c>
      <c r="GE1" s="10" t="s">
        <v>614</v>
      </c>
      <c r="GF1" s="10" t="s">
        <v>615</v>
      </c>
      <c r="GG1" s="10" t="s">
        <v>616</v>
      </c>
      <c r="GH1" s="10" t="s">
        <v>617</v>
      </c>
      <c r="GI1" s="10" t="s">
        <v>379</v>
      </c>
      <c r="GJ1" s="10" t="s">
        <v>376</v>
      </c>
      <c r="GK1" s="10" t="s">
        <v>618</v>
      </c>
      <c r="GL1" s="10" t="s">
        <v>619</v>
      </c>
      <c r="GM1" s="10" t="s">
        <v>620</v>
      </c>
      <c r="GN1" s="10" t="s">
        <v>621</v>
      </c>
      <c r="GO1" s="10" t="s">
        <v>378</v>
      </c>
      <c r="GP1" s="10" t="s">
        <v>381</v>
      </c>
      <c r="GQ1" s="10" t="s">
        <v>622</v>
      </c>
      <c r="GR1" s="10" t="s">
        <v>233</v>
      </c>
      <c r="GS1" s="10" t="s">
        <v>234</v>
      </c>
      <c r="GT1" s="10" t="s">
        <v>235</v>
      </c>
      <c r="GU1" s="10" t="s">
        <v>41</v>
      </c>
      <c r="GV1" s="10" t="s">
        <v>623</v>
      </c>
      <c r="GW1" s="10" t="s">
        <v>624</v>
      </c>
      <c r="GX1" s="10" t="s">
        <v>625</v>
      </c>
      <c r="GY1" s="10" t="s">
        <v>42</v>
      </c>
      <c r="GZ1" s="10" t="s">
        <v>43</v>
      </c>
      <c r="HA1" s="10" t="s">
        <v>383</v>
      </c>
      <c r="HB1" s="10" t="s">
        <v>626</v>
      </c>
      <c r="HC1" s="10" t="s">
        <v>627</v>
      </c>
      <c r="HD1" s="10" t="s">
        <v>628</v>
      </c>
      <c r="HE1" s="10" t="s">
        <v>629</v>
      </c>
      <c r="HF1" s="10" t="s">
        <v>630</v>
      </c>
      <c r="HG1" s="10" t="s">
        <v>388</v>
      </c>
      <c r="HH1" s="10" t="s">
        <v>385</v>
      </c>
      <c r="HI1" s="10" t="s">
        <v>631</v>
      </c>
      <c r="HJ1" s="10" t="s">
        <v>632</v>
      </c>
      <c r="HK1" s="10" t="s">
        <v>633</v>
      </c>
      <c r="HL1" s="10" t="s">
        <v>634</v>
      </c>
      <c r="HM1" s="10" t="s">
        <v>387</v>
      </c>
      <c r="HN1" s="10" t="s">
        <v>390</v>
      </c>
      <c r="HO1" s="10" t="s">
        <v>635</v>
      </c>
      <c r="HP1" s="10" t="s">
        <v>239</v>
      </c>
      <c r="HQ1" s="10" t="s">
        <v>240</v>
      </c>
      <c r="HR1" s="10" t="s">
        <v>241</v>
      </c>
      <c r="HS1" s="10" t="s">
        <v>44</v>
      </c>
      <c r="HT1" s="10" t="s">
        <v>636</v>
      </c>
      <c r="HU1" s="10" t="s">
        <v>637</v>
      </c>
      <c r="HV1" s="10" t="s">
        <v>638</v>
      </c>
      <c r="HW1" s="10" t="s">
        <v>45</v>
      </c>
      <c r="HX1" s="10" t="s">
        <v>46</v>
      </c>
      <c r="HY1" s="10" t="s">
        <v>392</v>
      </c>
      <c r="HZ1" s="10" t="s">
        <v>47</v>
      </c>
      <c r="IA1" s="10" t="s">
        <v>48</v>
      </c>
      <c r="IB1" s="10" t="s">
        <v>49</v>
      </c>
      <c r="IC1" s="11" t="s">
        <v>50</v>
      </c>
      <c r="ID1" s="10" t="s">
        <v>639</v>
      </c>
      <c r="IE1" s="10" t="s">
        <v>640</v>
      </c>
      <c r="IF1" s="10" t="s">
        <v>641</v>
      </c>
      <c r="IG1" s="10" t="s">
        <v>642</v>
      </c>
      <c r="IH1" s="10" t="s">
        <v>643</v>
      </c>
      <c r="II1" s="10" t="s">
        <v>644</v>
      </c>
      <c r="IJ1" s="10" t="s">
        <v>645</v>
      </c>
      <c r="IK1" s="10" t="s">
        <v>646</v>
      </c>
      <c r="IL1" s="10" t="s">
        <v>395</v>
      </c>
      <c r="IM1" s="10" t="s">
        <v>245</v>
      </c>
      <c r="IN1" s="10" t="s">
        <v>246</v>
      </c>
      <c r="IO1" s="10" t="s">
        <v>247</v>
      </c>
      <c r="IP1" s="10" t="s">
        <v>51</v>
      </c>
      <c r="IQ1" s="10" t="s">
        <v>647</v>
      </c>
      <c r="IR1" s="10" t="s">
        <v>648</v>
      </c>
      <c r="IS1" s="10" t="s">
        <v>52</v>
      </c>
      <c r="IT1" s="10" t="s">
        <v>53</v>
      </c>
      <c r="IU1" s="10" t="s">
        <v>398</v>
      </c>
      <c r="IV1" s="10" t="s">
        <v>649</v>
      </c>
      <c r="IW1" s="10" t="s">
        <v>650</v>
      </c>
      <c r="IX1" s="10" t="s">
        <v>651</v>
      </c>
      <c r="IY1" s="10" t="s">
        <v>652</v>
      </c>
      <c r="IZ1" s="10" t="s">
        <v>653</v>
      </c>
      <c r="JA1" s="10" t="s">
        <v>654</v>
      </c>
      <c r="JB1" s="10" t="s">
        <v>655</v>
      </c>
      <c r="JC1" s="10" t="s">
        <v>656</v>
      </c>
      <c r="JD1" s="10" t="s">
        <v>401</v>
      </c>
      <c r="JE1" s="10" t="s">
        <v>251</v>
      </c>
      <c r="JF1" s="10" t="s">
        <v>252</v>
      </c>
      <c r="JG1" s="10" t="s">
        <v>253</v>
      </c>
      <c r="JH1" s="10" t="s">
        <v>54</v>
      </c>
      <c r="JI1" s="10" t="s">
        <v>657</v>
      </c>
      <c r="JJ1" s="10" t="s">
        <v>658</v>
      </c>
      <c r="JK1" s="10" t="s">
        <v>55</v>
      </c>
      <c r="JL1" s="10" t="s">
        <v>56</v>
      </c>
      <c r="JM1" s="10" t="s">
        <v>404</v>
      </c>
      <c r="JN1" s="10" t="s">
        <v>57</v>
      </c>
      <c r="JO1" s="10" t="s">
        <v>58</v>
      </c>
      <c r="JP1" s="10" t="s">
        <v>59</v>
      </c>
      <c r="JQ1" s="11" t="s">
        <v>60</v>
      </c>
      <c r="JR1" s="10" t="s">
        <v>659</v>
      </c>
      <c r="JS1" s="10" t="s">
        <v>660</v>
      </c>
      <c r="JT1" s="10" t="s">
        <v>661</v>
      </c>
      <c r="JU1" s="10" t="s">
        <v>662</v>
      </c>
      <c r="JV1" s="10" t="s">
        <v>663</v>
      </c>
      <c r="JW1" s="10" t="s">
        <v>664</v>
      </c>
      <c r="JX1" s="10" t="s">
        <v>665</v>
      </c>
      <c r="JY1" s="10" t="s">
        <v>666</v>
      </c>
      <c r="JZ1" s="10" t="s">
        <v>407</v>
      </c>
      <c r="KA1" s="10" t="s">
        <v>256</v>
      </c>
      <c r="KB1" s="10" t="s">
        <v>257</v>
      </c>
      <c r="KC1" s="10" t="s">
        <v>61</v>
      </c>
      <c r="KD1" s="10" t="s">
        <v>667</v>
      </c>
      <c r="KE1" s="10" t="s">
        <v>668</v>
      </c>
      <c r="KF1" s="10" t="s">
        <v>62</v>
      </c>
      <c r="KG1" s="10" t="s">
        <v>63</v>
      </c>
      <c r="KH1" s="10" t="s">
        <v>410</v>
      </c>
      <c r="KI1" s="10" t="s">
        <v>411</v>
      </c>
      <c r="KJ1" s="10" t="s">
        <v>669</v>
      </c>
      <c r="KK1" s="10" t="s">
        <v>670</v>
      </c>
      <c r="KL1" s="10" t="s">
        <v>671</v>
      </c>
      <c r="KM1" s="10" t="s">
        <v>672</v>
      </c>
      <c r="KN1" s="10" t="s">
        <v>673</v>
      </c>
      <c r="KO1" s="10" t="s">
        <v>674</v>
      </c>
      <c r="KP1" s="10" t="s">
        <v>675</v>
      </c>
      <c r="KQ1" s="10" t="s">
        <v>676</v>
      </c>
      <c r="KR1" s="10" t="s">
        <v>414</v>
      </c>
      <c r="KS1" s="10" t="s">
        <v>260</v>
      </c>
      <c r="KT1" s="10" t="s">
        <v>261</v>
      </c>
      <c r="KU1" s="10" t="s">
        <v>64</v>
      </c>
      <c r="KV1" s="10" t="s">
        <v>677</v>
      </c>
      <c r="KW1" s="10" t="s">
        <v>678</v>
      </c>
      <c r="KX1" s="10" t="s">
        <v>65</v>
      </c>
      <c r="KY1" s="10" t="s">
        <v>66</v>
      </c>
      <c r="KZ1" s="10" t="s">
        <v>417</v>
      </c>
      <c r="LA1" s="10" t="s">
        <v>418</v>
      </c>
      <c r="LB1" s="10" t="s">
        <v>67</v>
      </c>
      <c r="LC1" s="10" t="s">
        <v>68</v>
      </c>
      <c r="LD1" s="10" t="s">
        <v>69</v>
      </c>
      <c r="LE1" s="11" t="s">
        <v>70</v>
      </c>
      <c r="LF1" s="10" t="s">
        <v>679</v>
      </c>
      <c r="LG1" s="10" t="s">
        <v>680</v>
      </c>
      <c r="LH1" s="10" t="s">
        <v>681</v>
      </c>
      <c r="LI1" s="10" t="s">
        <v>682</v>
      </c>
      <c r="LJ1" s="10" t="s">
        <v>683</v>
      </c>
      <c r="LK1" s="10" t="s">
        <v>684</v>
      </c>
      <c r="LL1" s="10" t="s">
        <v>685</v>
      </c>
      <c r="LM1" s="10" t="s">
        <v>421</v>
      </c>
      <c r="LN1" s="10" t="s">
        <v>264</v>
      </c>
      <c r="LO1" s="10" t="s">
        <v>265</v>
      </c>
      <c r="LP1" s="10" t="s">
        <v>71</v>
      </c>
      <c r="LQ1" s="10" t="s">
        <v>686</v>
      </c>
      <c r="LR1" s="10" t="s">
        <v>687</v>
      </c>
      <c r="LS1" s="10" t="s">
        <v>72</v>
      </c>
      <c r="LT1" s="10" t="s">
        <v>73</v>
      </c>
      <c r="LU1" s="10" t="s">
        <v>424</v>
      </c>
      <c r="LV1" s="10" t="s">
        <v>425</v>
      </c>
      <c r="LW1" s="10" t="s">
        <v>688</v>
      </c>
      <c r="LX1" s="10" t="s">
        <v>689</v>
      </c>
      <c r="LY1" s="10" t="s">
        <v>690</v>
      </c>
      <c r="LZ1" s="10" t="s">
        <v>691</v>
      </c>
      <c r="MA1" s="10" t="s">
        <v>692</v>
      </c>
      <c r="MB1" s="10" t="s">
        <v>693</v>
      </c>
      <c r="MC1" s="10" t="s">
        <v>694</v>
      </c>
      <c r="MD1" s="10" t="s">
        <v>428</v>
      </c>
      <c r="ME1" s="10" t="s">
        <v>268</v>
      </c>
      <c r="MF1" s="10" t="s">
        <v>269</v>
      </c>
      <c r="MG1" s="10" t="s">
        <v>74</v>
      </c>
      <c r="MH1" s="10" t="s">
        <v>695</v>
      </c>
      <c r="MI1" s="10" t="s">
        <v>696</v>
      </c>
      <c r="MJ1" s="10" t="s">
        <v>75</v>
      </c>
      <c r="MK1" s="10" t="s">
        <v>76</v>
      </c>
      <c r="ML1" s="10" t="s">
        <v>431</v>
      </c>
      <c r="MM1" s="10" t="s">
        <v>432</v>
      </c>
      <c r="MN1" s="10" t="s">
        <v>77</v>
      </c>
      <c r="MO1" s="10" t="s">
        <v>78</v>
      </c>
      <c r="MP1" s="10" t="s">
        <v>79</v>
      </c>
      <c r="MQ1" s="11" t="s">
        <v>80</v>
      </c>
      <c r="MR1" s="10" t="s">
        <v>697</v>
      </c>
      <c r="MS1" s="10" t="s">
        <v>698</v>
      </c>
      <c r="MT1" s="10" t="s">
        <v>699</v>
      </c>
      <c r="MU1" s="10" t="s">
        <v>700</v>
      </c>
      <c r="MV1" s="10" t="s">
        <v>435</v>
      </c>
      <c r="MW1" s="10" t="s">
        <v>272</v>
      </c>
      <c r="MX1" s="10" t="s">
        <v>273</v>
      </c>
      <c r="MY1" s="10" t="s">
        <v>81</v>
      </c>
      <c r="MZ1" s="10" t="s">
        <v>82</v>
      </c>
      <c r="NA1" s="10" t="s">
        <v>83</v>
      </c>
      <c r="NB1" s="10" t="s">
        <v>438</v>
      </c>
      <c r="NC1" s="10" t="s">
        <v>439</v>
      </c>
      <c r="ND1" s="10" t="s">
        <v>701</v>
      </c>
      <c r="NE1" s="10" t="s">
        <v>702</v>
      </c>
      <c r="NF1" s="10" t="s">
        <v>703</v>
      </c>
      <c r="NG1" s="10" t="s">
        <v>704</v>
      </c>
      <c r="NH1" s="10" t="s">
        <v>442</v>
      </c>
      <c r="NI1" s="10" t="s">
        <v>276</v>
      </c>
      <c r="NJ1" s="10" t="s">
        <v>277</v>
      </c>
      <c r="NK1" s="10" t="s">
        <v>84</v>
      </c>
      <c r="NL1" s="10" t="s">
        <v>85</v>
      </c>
      <c r="NM1" s="10" t="s">
        <v>86</v>
      </c>
      <c r="NN1" s="10" t="s">
        <v>445</v>
      </c>
      <c r="NO1" s="10" t="s">
        <v>446</v>
      </c>
      <c r="NP1" s="10" t="s">
        <v>87</v>
      </c>
      <c r="NQ1" s="10" t="s">
        <v>88</v>
      </c>
      <c r="NR1" s="10" t="s">
        <v>89</v>
      </c>
      <c r="NS1" s="11" t="s">
        <v>90</v>
      </c>
      <c r="NT1" s="10" t="s">
        <v>705</v>
      </c>
      <c r="NU1" s="10" t="s">
        <v>449</v>
      </c>
      <c r="NV1" s="10" t="s">
        <v>279</v>
      </c>
      <c r="NW1" s="10" t="s">
        <v>280</v>
      </c>
      <c r="NX1" s="10" t="s">
        <v>91</v>
      </c>
      <c r="NY1" s="10" t="s">
        <v>92</v>
      </c>
      <c r="NZ1" s="10" t="s">
        <v>93</v>
      </c>
      <c r="OA1" s="10" t="s">
        <v>452</v>
      </c>
      <c r="OB1" s="10" t="s">
        <v>453</v>
      </c>
      <c r="OC1" s="10" t="s">
        <v>706</v>
      </c>
      <c r="OD1" s="10" t="s">
        <v>456</v>
      </c>
      <c r="OE1" s="10" t="s">
        <v>282</v>
      </c>
      <c r="OF1" s="10" t="s">
        <v>283</v>
      </c>
      <c r="OG1" s="10" t="s">
        <v>94</v>
      </c>
      <c r="OH1" s="10" t="s">
        <v>95</v>
      </c>
      <c r="OI1" s="10" t="s">
        <v>96</v>
      </c>
      <c r="OJ1" s="10" t="s">
        <v>459</v>
      </c>
      <c r="OK1" s="10" t="s">
        <v>460</v>
      </c>
      <c r="OL1" s="10" t="s">
        <v>97</v>
      </c>
      <c r="OM1" s="10" t="s">
        <v>98</v>
      </c>
    </row>
    <row x14ac:dyDescent="0.25" r="2" customHeight="1" ht="18" customFormat="1" s="8">
      <c r="A2" s="9" t="s">
        <v>707</v>
      </c>
      <c r="B2" s="12">
        <v>76207</v>
      </c>
      <c r="C2" s="16" t="s">
        <v>109</v>
      </c>
      <c r="D2" s="12">
        <v>38640</v>
      </c>
      <c r="E2" s="12">
        <v>3360</v>
      </c>
      <c r="F2" s="12">
        <v>47040</v>
      </c>
      <c r="G2" s="12">
        <v>2160</v>
      </c>
      <c r="H2" s="12">
        <v>0</v>
      </c>
      <c r="I2" s="12">
        <v>0</v>
      </c>
      <c r="J2" s="12">
        <v>606240</v>
      </c>
      <c r="K2" s="12">
        <v>36720</v>
      </c>
      <c r="L2" s="12">
        <v>0</v>
      </c>
      <c r="M2" s="12">
        <v>2859360</v>
      </c>
      <c r="N2" s="12">
        <v>248640</v>
      </c>
      <c r="O2" s="12">
        <v>3570336</v>
      </c>
      <c r="P2" s="12">
        <v>187920</v>
      </c>
      <c r="Q2" s="12">
        <v>0</v>
      </c>
      <c r="R2" s="12">
        <v>0</v>
      </c>
      <c r="S2" s="12">
        <v>8184240</v>
      </c>
      <c r="T2" s="12">
        <v>495720</v>
      </c>
      <c r="U2" s="12">
        <v>0</v>
      </c>
      <c r="V2" s="12">
        <v>734160</v>
      </c>
      <c r="W2" s="12">
        <v>15546216</v>
      </c>
      <c r="X2" s="12">
        <v>76208</v>
      </c>
      <c r="Y2" s="11" t="s">
        <v>109</v>
      </c>
      <c r="Z2" s="12">
        <v>39600</v>
      </c>
      <c r="AA2" s="12">
        <v>7920</v>
      </c>
      <c r="AB2" s="12">
        <v>240</v>
      </c>
      <c r="AC2" s="12">
        <v>64320</v>
      </c>
      <c r="AD2" s="12">
        <v>3120</v>
      </c>
      <c r="AE2" s="12">
        <v>0</v>
      </c>
      <c r="AF2" s="12">
        <v>240</v>
      </c>
      <c r="AG2" s="12">
        <v>0</v>
      </c>
      <c r="AH2" s="12">
        <v>0</v>
      </c>
      <c r="AI2" s="12">
        <v>0</v>
      </c>
      <c r="AJ2" s="12">
        <v>508560</v>
      </c>
      <c r="AK2" s="12">
        <v>0</v>
      </c>
      <c r="AL2" s="12">
        <v>0</v>
      </c>
      <c r="AM2" s="12">
        <v>2930400</v>
      </c>
      <c r="AN2" s="12">
        <v>586080</v>
      </c>
      <c r="AO2" s="12">
        <v>8640</v>
      </c>
      <c r="AP2" s="12">
        <v>4881888</v>
      </c>
      <c r="AQ2" s="12">
        <v>271440</v>
      </c>
      <c r="AR2" s="12">
        <v>0</v>
      </c>
      <c r="AS2" s="12">
        <v>2342</v>
      </c>
      <c r="AT2" s="12">
        <v>0</v>
      </c>
      <c r="AU2" s="12">
        <v>0</v>
      </c>
      <c r="AV2" s="12">
        <v>0</v>
      </c>
      <c r="AW2" s="12">
        <v>6865560</v>
      </c>
      <c r="AX2" s="12">
        <v>0</v>
      </c>
      <c r="AY2" s="12">
        <v>0</v>
      </c>
      <c r="AZ2" s="12">
        <v>624000</v>
      </c>
      <c r="BA2" s="12">
        <v>15546350</v>
      </c>
      <c r="BB2" s="12">
        <v>46179</v>
      </c>
      <c r="BC2" s="11" t="s">
        <v>708</v>
      </c>
      <c r="BD2" s="12">
        <v>24960</v>
      </c>
      <c r="BE2" s="12">
        <v>4080</v>
      </c>
      <c r="BF2" s="12">
        <v>240</v>
      </c>
      <c r="BG2" s="12">
        <v>35040</v>
      </c>
      <c r="BH2" s="12">
        <v>480</v>
      </c>
      <c r="BI2" s="12">
        <v>38640</v>
      </c>
      <c r="BJ2" s="12">
        <v>61680</v>
      </c>
      <c r="BK2" s="12">
        <v>26400</v>
      </c>
      <c r="BL2" s="12">
        <v>480</v>
      </c>
      <c r="BM2" s="12">
        <v>14400</v>
      </c>
      <c r="BN2" s="12">
        <v>157440</v>
      </c>
      <c r="BO2" s="12">
        <v>71760</v>
      </c>
      <c r="BP2" s="12">
        <v>0</v>
      </c>
      <c r="BQ2" s="12">
        <v>1847040</v>
      </c>
      <c r="BR2" s="12">
        <v>301920</v>
      </c>
      <c r="BS2" s="12">
        <v>8640</v>
      </c>
      <c r="BT2" s="12">
        <v>2659536</v>
      </c>
      <c r="BU2" s="12">
        <v>41760</v>
      </c>
      <c r="BV2" s="12">
        <v>377126</v>
      </c>
      <c r="BW2" s="12">
        <v>601996</v>
      </c>
      <c r="BX2" s="12">
        <v>257663</v>
      </c>
      <c r="BY2" s="12">
        <v>4684</v>
      </c>
      <c r="BZ2" s="12">
        <v>225936</v>
      </c>
      <c r="CA2" s="12">
        <v>2125440</v>
      </c>
      <c r="CB2" s="12">
        <v>968760</v>
      </c>
      <c r="CC2" s="12">
        <v>0</v>
      </c>
      <c r="CD2" s="12">
        <v>435600</v>
      </c>
      <c r="CE2" s="12">
        <v>9420504</v>
      </c>
      <c r="CF2" s="12">
        <v>76208</v>
      </c>
      <c r="CG2" s="11" t="s">
        <v>109</v>
      </c>
      <c r="CH2" s="12">
        <v>50400</v>
      </c>
      <c r="CI2" s="12">
        <v>9840</v>
      </c>
      <c r="CJ2" s="12">
        <v>480</v>
      </c>
      <c r="CK2" s="12">
        <v>72960</v>
      </c>
      <c r="CL2" s="12">
        <v>1200</v>
      </c>
      <c r="CM2" s="12">
        <v>0</v>
      </c>
      <c r="CN2" s="12">
        <v>0</v>
      </c>
      <c r="CO2" s="12">
        <v>0</v>
      </c>
      <c r="CP2" s="12">
        <v>240</v>
      </c>
      <c r="CQ2" s="12">
        <v>0</v>
      </c>
      <c r="CR2" s="12">
        <v>0</v>
      </c>
      <c r="CS2" s="12">
        <v>0</v>
      </c>
      <c r="CT2" s="12">
        <v>0</v>
      </c>
      <c r="CU2" s="12">
        <v>0</v>
      </c>
      <c r="CV2" s="12">
        <v>0</v>
      </c>
      <c r="CW2" s="12">
        <v>402000</v>
      </c>
      <c r="CX2" s="12">
        <v>0</v>
      </c>
      <c r="CY2" s="12">
        <v>0</v>
      </c>
      <c r="CZ2" s="12">
        <v>0</v>
      </c>
      <c r="DA2" s="12">
        <v>0</v>
      </c>
      <c r="DB2" s="12">
        <v>0</v>
      </c>
      <c r="DC2" s="12">
        <v>0</v>
      </c>
      <c r="DD2" s="12">
        <v>0</v>
      </c>
      <c r="DE2" s="12">
        <v>3729600</v>
      </c>
      <c r="DF2" s="12">
        <v>728160</v>
      </c>
      <c r="DG2" s="12">
        <v>17280</v>
      </c>
      <c r="DH2" s="12">
        <v>5537664</v>
      </c>
      <c r="DI2" s="12">
        <v>104400</v>
      </c>
      <c r="DJ2" s="12">
        <v>0</v>
      </c>
      <c r="DK2" s="12">
        <v>0</v>
      </c>
      <c r="DL2" s="12">
        <v>0</v>
      </c>
      <c r="DM2" s="12">
        <v>2342</v>
      </c>
      <c r="DN2" s="12">
        <v>0</v>
      </c>
      <c r="DO2" s="12">
        <v>0</v>
      </c>
      <c r="DP2" s="12">
        <v>0</v>
      </c>
      <c r="DQ2" s="12">
        <v>0</v>
      </c>
      <c r="DR2" s="12">
        <v>0</v>
      </c>
      <c r="DS2" s="12">
        <v>0</v>
      </c>
      <c r="DT2" s="12">
        <v>5427000</v>
      </c>
      <c r="DU2" s="12">
        <v>0</v>
      </c>
      <c r="DV2" s="12">
        <v>0</v>
      </c>
      <c r="DW2" s="12">
        <v>0</v>
      </c>
      <c r="DX2" s="12">
        <v>0</v>
      </c>
      <c r="DY2" s="12">
        <v>0</v>
      </c>
      <c r="DZ2" s="12">
        <v>0</v>
      </c>
      <c r="EA2" s="12">
        <v>0</v>
      </c>
      <c r="EB2" s="12">
        <v>537120</v>
      </c>
      <c r="EC2" s="12">
        <v>15546446</v>
      </c>
      <c r="ED2" s="12">
        <v>76205</v>
      </c>
      <c r="EE2" s="11" t="s">
        <v>109</v>
      </c>
      <c r="EF2" s="12">
        <v>51360</v>
      </c>
      <c r="EG2" s="12">
        <v>9840</v>
      </c>
      <c r="EH2" s="12">
        <v>0</v>
      </c>
      <c r="EI2" s="12">
        <v>75840</v>
      </c>
      <c r="EJ2" s="12">
        <v>1440</v>
      </c>
      <c r="EK2" s="12">
        <v>0</v>
      </c>
      <c r="EL2" s="12">
        <v>0</v>
      </c>
      <c r="EM2" s="12">
        <v>0</v>
      </c>
      <c r="EN2" s="12">
        <v>0</v>
      </c>
      <c r="EO2" s="12">
        <v>0</v>
      </c>
      <c r="EP2" s="12">
        <v>0</v>
      </c>
      <c r="EQ2" s="12">
        <v>0</v>
      </c>
      <c r="ER2" s="12">
        <v>0</v>
      </c>
      <c r="ES2" s="12">
        <v>0</v>
      </c>
      <c r="ET2" s="12">
        <v>0</v>
      </c>
      <c r="EU2" s="12">
        <v>380400</v>
      </c>
      <c r="EV2" s="12">
        <v>0</v>
      </c>
      <c r="EW2" s="12">
        <v>0</v>
      </c>
      <c r="EX2" s="12">
        <v>0</v>
      </c>
      <c r="EY2" s="12">
        <v>0</v>
      </c>
      <c r="EZ2" s="12">
        <v>0</v>
      </c>
      <c r="FA2" s="12">
        <v>0</v>
      </c>
      <c r="FB2" s="12">
        <v>0</v>
      </c>
      <c r="FC2" s="12">
        <v>3800640</v>
      </c>
      <c r="FD2" s="12">
        <v>728160</v>
      </c>
      <c r="FE2" s="12">
        <v>0</v>
      </c>
      <c r="FF2" s="12">
        <v>5756256</v>
      </c>
      <c r="FG2" s="12">
        <v>125280</v>
      </c>
      <c r="FH2" s="12">
        <v>0</v>
      </c>
      <c r="FI2" s="12">
        <v>0</v>
      </c>
      <c r="FJ2" s="12">
        <v>0</v>
      </c>
      <c r="FK2" s="12">
        <v>0</v>
      </c>
      <c r="FL2" s="12">
        <v>0</v>
      </c>
      <c r="FM2" s="12">
        <v>0</v>
      </c>
      <c r="FN2" s="12">
        <v>0</v>
      </c>
      <c r="FO2" s="12">
        <v>0</v>
      </c>
      <c r="FP2" s="12">
        <v>0</v>
      </c>
      <c r="FQ2" s="12">
        <v>0</v>
      </c>
      <c r="FR2" s="12">
        <v>5135400</v>
      </c>
      <c r="FS2" s="12">
        <v>0</v>
      </c>
      <c r="FT2" s="12">
        <v>0</v>
      </c>
      <c r="FU2" s="12">
        <v>0</v>
      </c>
      <c r="FV2" s="12">
        <v>0</v>
      </c>
      <c r="FW2" s="12">
        <v>0</v>
      </c>
      <c r="FX2" s="12">
        <v>0</v>
      </c>
      <c r="FY2" s="12">
        <v>0</v>
      </c>
      <c r="FZ2" s="12">
        <v>518880</v>
      </c>
      <c r="GA2" s="12">
        <v>15545736</v>
      </c>
      <c r="GB2" s="12">
        <v>76212</v>
      </c>
      <c r="GC2" s="11" t="s">
        <v>467</v>
      </c>
      <c r="GD2" s="12">
        <v>49920</v>
      </c>
      <c r="GE2" s="12">
        <v>9840</v>
      </c>
      <c r="GF2" s="12">
        <v>0</v>
      </c>
      <c r="GG2" s="12">
        <v>77520</v>
      </c>
      <c r="GH2" s="12">
        <v>1440</v>
      </c>
      <c r="GI2" s="12">
        <v>0</v>
      </c>
      <c r="GJ2" s="12">
        <v>0</v>
      </c>
      <c r="GK2" s="12">
        <v>0</v>
      </c>
      <c r="GL2" s="12">
        <v>0</v>
      </c>
      <c r="GM2" s="12">
        <v>0</v>
      </c>
      <c r="GN2" s="12">
        <v>0</v>
      </c>
      <c r="GO2" s="12">
        <v>0</v>
      </c>
      <c r="GP2" s="12">
        <v>0</v>
      </c>
      <c r="GQ2" s="12">
        <v>0</v>
      </c>
      <c r="GR2" s="12">
        <v>0</v>
      </c>
      <c r="GS2" s="12">
        <v>378960</v>
      </c>
      <c r="GT2" s="12">
        <v>0</v>
      </c>
      <c r="GU2" s="12">
        <v>0</v>
      </c>
      <c r="GV2" s="12">
        <v>0</v>
      </c>
      <c r="GW2" s="12">
        <v>0</v>
      </c>
      <c r="GX2" s="12">
        <v>0</v>
      </c>
      <c r="GY2" s="12">
        <v>0</v>
      </c>
      <c r="GZ2" s="12">
        <v>0</v>
      </c>
      <c r="HA2" s="12">
        <v>0</v>
      </c>
      <c r="HB2" s="12">
        <v>3694080</v>
      </c>
      <c r="HC2" s="12">
        <v>728160</v>
      </c>
      <c r="HD2" s="12">
        <v>0</v>
      </c>
      <c r="HE2" s="12">
        <v>5883768</v>
      </c>
      <c r="HF2" s="12">
        <v>125280</v>
      </c>
      <c r="HG2" s="12">
        <v>0</v>
      </c>
      <c r="HH2" s="12">
        <v>0</v>
      </c>
      <c r="HI2" s="12">
        <v>0</v>
      </c>
      <c r="HJ2" s="12">
        <v>0</v>
      </c>
      <c r="HK2" s="12">
        <v>0</v>
      </c>
      <c r="HL2" s="12">
        <v>0</v>
      </c>
      <c r="HM2" s="12">
        <v>0</v>
      </c>
      <c r="HN2" s="12">
        <v>0</v>
      </c>
      <c r="HO2" s="12">
        <v>0</v>
      </c>
      <c r="HP2" s="12">
        <v>0</v>
      </c>
      <c r="HQ2" s="12">
        <v>5115960</v>
      </c>
      <c r="HR2" s="12">
        <v>0</v>
      </c>
      <c r="HS2" s="12">
        <v>0</v>
      </c>
      <c r="HT2" s="12">
        <v>0</v>
      </c>
      <c r="HU2" s="12">
        <v>0</v>
      </c>
      <c r="HV2" s="12">
        <v>0</v>
      </c>
      <c r="HW2" s="12">
        <v>0</v>
      </c>
      <c r="HX2" s="12">
        <v>0</v>
      </c>
      <c r="HY2" s="12">
        <v>0</v>
      </c>
      <c r="HZ2" s="12">
        <v>517680</v>
      </c>
      <c r="IA2" s="12">
        <v>15547248</v>
      </c>
      <c r="IB2" s="12">
        <v>76202</v>
      </c>
      <c r="IC2" s="11" t="s">
        <v>109</v>
      </c>
      <c r="ID2" s="12">
        <v>47520</v>
      </c>
      <c r="IE2" s="12">
        <v>9840</v>
      </c>
      <c r="IF2" s="12">
        <v>77040</v>
      </c>
      <c r="IG2" s="12">
        <v>1680</v>
      </c>
      <c r="IH2" s="12">
        <v>0</v>
      </c>
      <c r="II2" s="12">
        <v>0</v>
      </c>
      <c r="IJ2" s="12">
        <v>0</v>
      </c>
      <c r="IK2" s="12">
        <v>0</v>
      </c>
      <c r="IL2" s="12">
        <v>0</v>
      </c>
      <c r="IM2" s="12">
        <v>0</v>
      </c>
      <c r="IN2" s="12">
        <v>361440</v>
      </c>
      <c r="IO2" s="12">
        <v>31680</v>
      </c>
      <c r="IP2" s="12">
        <v>0</v>
      </c>
      <c r="IQ2" s="12">
        <v>0</v>
      </c>
      <c r="IR2" s="12">
        <v>0</v>
      </c>
      <c r="IS2" s="12">
        <v>0</v>
      </c>
      <c r="IT2" s="12">
        <v>0</v>
      </c>
      <c r="IU2" s="12">
        <v>0</v>
      </c>
      <c r="IV2" s="12">
        <v>3516480</v>
      </c>
      <c r="IW2" s="12">
        <v>728160</v>
      </c>
      <c r="IX2" s="12">
        <v>5847336</v>
      </c>
      <c r="IY2" s="12">
        <v>146160</v>
      </c>
      <c r="IZ2" s="12">
        <v>0</v>
      </c>
      <c r="JA2" s="12">
        <v>0</v>
      </c>
      <c r="JB2" s="12">
        <v>0</v>
      </c>
      <c r="JC2" s="12">
        <v>0</v>
      </c>
      <c r="JD2" s="12">
        <v>0</v>
      </c>
      <c r="JE2" s="12">
        <v>0</v>
      </c>
      <c r="JF2" s="12">
        <v>4879440</v>
      </c>
      <c r="JG2" s="12">
        <v>427680</v>
      </c>
      <c r="JH2" s="12">
        <v>0</v>
      </c>
      <c r="JI2" s="12">
        <v>0</v>
      </c>
      <c r="JJ2" s="12">
        <v>0</v>
      </c>
      <c r="JK2" s="12">
        <v>0</v>
      </c>
      <c r="JL2" s="12">
        <v>0</v>
      </c>
      <c r="JM2" s="12">
        <v>0</v>
      </c>
      <c r="JN2" s="12">
        <v>529200</v>
      </c>
      <c r="JO2" s="12">
        <v>15545256</v>
      </c>
      <c r="JP2" s="12">
        <v>76208</v>
      </c>
      <c r="JQ2" s="11" t="s">
        <v>467</v>
      </c>
      <c r="JR2" s="12">
        <v>36960</v>
      </c>
      <c r="JS2" s="12">
        <v>9840</v>
      </c>
      <c r="JT2" s="12">
        <v>81120</v>
      </c>
      <c r="JU2" s="12">
        <v>1680</v>
      </c>
      <c r="JV2" s="12">
        <v>0</v>
      </c>
      <c r="JW2" s="12">
        <v>0</v>
      </c>
      <c r="JX2" s="12">
        <v>0</v>
      </c>
      <c r="JY2" s="12">
        <v>0</v>
      </c>
      <c r="JZ2" s="12">
        <v>0</v>
      </c>
      <c r="KA2" s="12">
        <v>323760</v>
      </c>
      <c r="KB2" s="12">
        <v>104400</v>
      </c>
      <c r="KC2" s="12">
        <v>0</v>
      </c>
      <c r="KD2" s="12">
        <v>0</v>
      </c>
      <c r="KE2" s="12">
        <v>0</v>
      </c>
      <c r="KF2" s="12">
        <v>0</v>
      </c>
      <c r="KG2" s="12">
        <v>0</v>
      </c>
      <c r="KH2" s="12">
        <v>0</v>
      </c>
      <c r="KI2" s="12">
        <v>0</v>
      </c>
      <c r="KJ2" s="12">
        <v>2735040</v>
      </c>
      <c r="KK2" s="12">
        <v>728160</v>
      </c>
      <c r="KL2" s="12">
        <v>6157008</v>
      </c>
      <c r="KM2" s="12">
        <v>146160</v>
      </c>
      <c r="KN2" s="12">
        <v>0</v>
      </c>
      <c r="KO2" s="12">
        <v>0</v>
      </c>
      <c r="KP2" s="12">
        <v>0</v>
      </c>
      <c r="KQ2" s="12">
        <v>0</v>
      </c>
      <c r="KR2" s="12">
        <v>0</v>
      </c>
      <c r="KS2" s="12">
        <v>4370760</v>
      </c>
      <c r="KT2" s="12">
        <v>1409400</v>
      </c>
      <c r="KU2" s="12">
        <v>0</v>
      </c>
      <c r="KV2" s="12">
        <v>0</v>
      </c>
      <c r="KW2" s="12">
        <v>0</v>
      </c>
      <c r="KX2" s="12">
        <v>0</v>
      </c>
      <c r="KY2" s="12">
        <v>0</v>
      </c>
      <c r="KZ2" s="12">
        <v>0</v>
      </c>
      <c r="LA2" s="12">
        <v>0</v>
      </c>
      <c r="LB2" s="12">
        <v>557760</v>
      </c>
      <c r="LC2" s="12">
        <v>15546528</v>
      </c>
      <c r="LD2" s="12">
        <v>76205</v>
      </c>
      <c r="LE2" s="11" t="s">
        <v>109</v>
      </c>
      <c r="LF2" s="12">
        <v>31200</v>
      </c>
      <c r="LG2" s="12">
        <v>9840</v>
      </c>
      <c r="LH2" s="12">
        <v>84720</v>
      </c>
      <c r="LI2" s="12">
        <v>1680</v>
      </c>
      <c r="LJ2" s="12">
        <v>0</v>
      </c>
      <c r="LK2" s="12">
        <v>0</v>
      </c>
      <c r="LL2" s="12">
        <v>0</v>
      </c>
      <c r="LM2" s="12">
        <v>0</v>
      </c>
      <c r="LN2" s="12">
        <v>348000</v>
      </c>
      <c r="LO2" s="12">
        <v>91440</v>
      </c>
      <c r="LP2" s="12">
        <v>0</v>
      </c>
      <c r="LQ2" s="12">
        <v>0</v>
      </c>
      <c r="LR2" s="12">
        <v>0</v>
      </c>
      <c r="LS2" s="12">
        <v>0</v>
      </c>
      <c r="LT2" s="12">
        <v>0</v>
      </c>
      <c r="LU2" s="12">
        <v>0</v>
      </c>
      <c r="LV2" s="12">
        <v>0</v>
      </c>
      <c r="LW2" s="12">
        <v>2308800</v>
      </c>
      <c r="LX2" s="12">
        <v>728160</v>
      </c>
      <c r="LY2" s="12">
        <v>6430248</v>
      </c>
      <c r="LZ2" s="12">
        <v>146160</v>
      </c>
      <c r="MA2" s="12">
        <v>0</v>
      </c>
      <c r="MB2" s="12">
        <v>0</v>
      </c>
      <c r="MC2" s="12">
        <v>0</v>
      </c>
      <c r="MD2" s="12">
        <v>0</v>
      </c>
      <c r="ME2" s="12">
        <v>4698000</v>
      </c>
      <c r="MF2" s="12">
        <v>1234440</v>
      </c>
      <c r="MG2" s="12">
        <v>0</v>
      </c>
      <c r="MH2" s="12">
        <v>0</v>
      </c>
      <c r="MI2" s="12">
        <v>0</v>
      </c>
      <c r="MJ2" s="12">
        <v>0</v>
      </c>
      <c r="MK2" s="12">
        <v>0</v>
      </c>
      <c r="ML2" s="12">
        <v>0</v>
      </c>
      <c r="MM2" s="12">
        <v>0</v>
      </c>
      <c r="MN2" s="12">
        <v>566880</v>
      </c>
      <c r="MO2" s="12">
        <v>15545808</v>
      </c>
      <c r="MP2" s="12">
        <v>76189</v>
      </c>
      <c r="MQ2" s="11" t="s">
        <v>308</v>
      </c>
      <c r="MR2" s="12">
        <v>22080</v>
      </c>
      <c r="MS2" s="12">
        <v>152640</v>
      </c>
      <c r="MT2" s="12">
        <v>166320</v>
      </c>
      <c r="MU2" s="12">
        <v>129120</v>
      </c>
      <c r="MV2" s="12">
        <v>2400</v>
      </c>
      <c r="MW2" s="12">
        <v>347520</v>
      </c>
      <c r="MX2" s="12">
        <v>224160</v>
      </c>
      <c r="MY2" s="12">
        <v>0</v>
      </c>
      <c r="MZ2" s="12">
        <v>0</v>
      </c>
      <c r="NA2" s="12">
        <v>0</v>
      </c>
      <c r="NB2" s="12">
        <v>15120</v>
      </c>
      <c r="NC2" s="12">
        <v>0</v>
      </c>
      <c r="ND2" s="12">
        <v>1675872</v>
      </c>
      <c r="NE2" s="12">
        <v>1489766</v>
      </c>
      <c r="NF2" s="12">
        <v>1623283</v>
      </c>
      <c r="NG2" s="12">
        <v>1260211</v>
      </c>
      <c r="NH2" s="12">
        <v>36960</v>
      </c>
      <c r="NI2" s="12">
        <v>4691520</v>
      </c>
      <c r="NJ2" s="12">
        <v>3026160</v>
      </c>
      <c r="NK2" s="12">
        <v>0</v>
      </c>
      <c r="NL2" s="12">
        <v>0</v>
      </c>
      <c r="NM2" s="12">
        <v>0</v>
      </c>
      <c r="NN2" s="12">
        <v>1738800</v>
      </c>
      <c r="NO2" s="12">
        <v>0</v>
      </c>
      <c r="NP2" s="12">
        <v>1059360</v>
      </c>
      <c r="NQ2" s="12">
        <v>15542572</v>
      </c>
      <c r="NR2" s="12">
        <v>76118</v>
      </c>
      <c r="NS2" s="11" t="s">
        <v>709</v>
      </c>
      <c r="NT2" s="12">
        <v>25680</v>
      </c>
      <c r="NU2" s="12">
        <v>1680</v>
      </c>
      <c r="NV2" s="12">
        <v>276000</v>
      </c>
      <c r="NW2" s="12">
        <v>116640</v>
      </c>
      <c r="NX2" s="12">
        <v>0</v>
      </c>
      <c r="NY2" s="12">
        <v>0</v>
      </c>
      <c r="NZ2" s="12">
        <v>0</v>
      </c>
      <c r="OA2" s="12">
        <v>71760</v>
      </c>
      <c r="OB2" s="12">
        <v>0</v>
      </c>
      <c r="OC2" s="12">
        <v>1949112</v>
      </c>
      <c r="OD2" s="12">
        <v>25872</v>
      </c>
      <c r="OE2" s="12">
        <v>3726000</v>
      </c>
      <c r="OF2" s="12">
        <v>1574640</v>
      </c>
      <c r="OG2" s="12">
        <v>0</v>
      </c>
      <c r="OH2" s="12">
        <v>0</v>
      </c>
      <c r="OI2" s="12">
        <v>0</v>
      </c>
      <c r="OJ2" s="12">
        <v>8252400</v>
      </c>
      <c r="OK2" s="12">
        <v>0</v>
      </c>
      <c r="OL2" s="12">
        <v>491760</v>
      </c>
      <c r="OM2" s="12">
        <v>15528024</v>
      </c>
    </row>
    <row x14ac:dyDescent="0.25" r="3" customHeight="1" ht="18" customFormat="1" s="8">
      <c r="A3" s="9" t="s">
        <v>710</v>
      </c>
      <c r="B3" s="12">
        <v>70985</v>
      </c>
      <c r="C3" s="16" t="s">
        <v>711</v>
      </c>
      <c r="D3" s="12">
        <v>0</v>
      </c>
      <c r="E3" s="12">
        <v>0</v>
      </c>
      <c r="F3" s="12">
        <v>0</v>
      </c>
      <c r="G3" s="12">
        <v>0</v>
      </c>
      <c r="H3" s="12">
        <v>167760</v>
      </c>
      <c r="I3" s="12">
        <v>328560</v>
      </c>
      <c r="J3" s="12">
        <v>0</v>
      </c>
      <c r="K3" s="12">
        <v>569520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1637337</v>
      </c>
      <c r="R3" s="12">
        <v>5155106</v>
      </c>
      <c r="S3" s="12">
        <v>0</v>
      </c>
      <c r="T3" s="12">
        <v>7688520</v>
      </c>
      <c r="U3" s="12">
        <v>0</v>
      </c>
      <c r="V3" s="12">
        <v>1065840</v>
      </c>
      <c r="W3" s="12">
        <v>14480964</v>
      </c>
      <c r="X3" s="12">
        <v>76210</v>
      </c>
      <c r="Y3" s="11" t="s">
        <v>467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234000</v>
      </c>
      <c r="AF3" s="12">
        <v>289200</v>
      </c>
      <c r="AG3" s="12">
        <v>19920</v>
      </c>
      <c r="AH3" s="12">
        <v>960</v>
      </c>
      <c r="AI3" s="12">
        <v>37680</v>
      </c>
      <c r="AJ3" s="12">
        <v>354000</v>
      </c>
      <c r="AK3" s="12">
        <v>360480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2283840</v>
      </c>
      <c r="AS3" s="12">
        <v>2822592</v>
      </c>
      <c r="AT3" s="12">
        <v>194419</v>
      </c>
      <c r="AU3" s="12">
        <v>9369</v>
      </c>
      <c r="AV3" s="12">
        <v>591199</v>
      </c>
      <c r="AW3" s="12">
        <v>4779000</v>
      </c>
      <c r="AX3" s="12">
        <v>4866480</v>
      </c>
      <c r="AY3" s="12">
        <v>0</v>
      </c>
      <c r="AZ3" s="12">
        <v>1296240</v>
      </c>
      <c r="BA3" s="12">
        <v>15546899</v>
      </c>
      <c r="BB3" s="12">
        <v>0</v>
      </c>
      <c r="BC3" s="11" t="s">
        <v>112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70653</v>
      </c>
      <c r="CG3" s="11" t="s">
        <v>712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240</v>
      </c>
      <c r="CN3" s="12">
        <v>240</v>
      </c>
      <c r="CO3" s="12">
        <v>154560</v>
      </c>
      <c r="CP3" s="12">
        <v>199680</v>
      </c>
      <c r="CQ3" s="12">
        <v>98880</v>
      </c>
      <c r="CR3" s="12">
        <v>3360</v>
      </c>
      <c r="CS3" s="12">
        <v>3120</v>
      </c>
      <c r="CT3" s="12">
        <v>240</v>
      </c>
      <c r="CU3" s="12">
        <v>240</v>
      </c>
      <c r="CV3" s="12">
        <v>170400</v>
      </c>
      <c r="CW3" s="12">
        <v>36480</v>
      </c>
      <c r="CX3" s="12">
        <v>338880</v>
      </c>
      <c r="CY3" s="12">
        <v>0</v>
      </c>
      <c r="CZ3" s="12">
        <v>5040</v>
      </c>
      <c r="DA3" s="12">
        <v>14880</v>
      </c>
      <c r="DB3" s="12">
        <v>100320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21048</v>
      </c>
      <c r="DK3" s="12">
        <v>3038</v>
      </c>
      <c r="DL3" s="12">
        <v>1508505</v>
      </c>
      <c r="DM3" s="12">
        <v>1948876</v>
      </c>
      <c r="DN3" s="12">
        <v>965068</v>
      </c>
      <c r="DO3" s="12">
        <v>32793</v>
      </c>
      <c r="DP3" s="12">
        <v>48048</v>
      </c>
      <c r="DQ3" s="12">
        <v>20416</v>
      </c>
      <c r="DR3" s="12">
        <v>11541</v>
      </c>
      <c r="DS3" s="12">
        <v>2673576</v>
      </c>
      <c r="DT3" s="12">
        <v>492480</v>
      </c>
      <c r="DU3" s="12">
        <v>4574880</v>
      </c>
      <c r="DV3" s="12">
        <v>0</v>
      </c>
      <c r="DW3" s="12">
        <v>65872</v>
      </c>
      <c r="DX3" s="12">
        <v>264417</v>
      </c>
      <c r="DY3" s="12">
        <v>1782686</v>
      </c>
      <c r="DZ3" s="12">
        <v>0</v>
      </c>
      <c r="EA3" s="12">
        <v>0</v>
      </c>
      <c r="EB3" s="12">
        <v>1126560</v>
      </c>
      <c r="EC3" s="12">
        <v>14413250</v>
      </c>
      <c r="ED3" s="12">
        <v>63108</v>
      </c>
      <c r="EE3" s="11" t="s">
        <v>713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240</v>
      </c>
      <c r="EL3" s="12">
        <v>240</v>
      </c>
      <c r="EM3" s="12">
        <v>145920</v>
      </c>
      <c r="EN3" s="12">
        <v>179760</v>
      </c>
      <c r="EO3" s="12">
        <v>97920</v>
      </c>
      <c r="EP3" s="12">
        <v>4320</v>
      </c>
      <c r="EQ3" s="12">
        <v>3120</v>
      </c>
      <c r="ER3" s="12">
        <v>240</v>
      </c>
      <c r="ES3" s="12">
        <v>240</v>
      </c>
      <c r="ET3" s="12">
        <v>124800</v>
      </c>
      <c r="EU3" s="12">
        <v>62880</v>
      </c>
      <c r="EV3" s="12">
        <v>279600</v>
      </c>
      <c r="EW3" s="12">
        <v>0</v>
      </c>
      <c r="EX3" s="12">
        <v>4800</v>
      </c>
      <c r="EY3" s="12">
        <v>14880</v>
      </c>
      <c r="EZ3" s="12">
        <v>94800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0</v>
      </c>
      <c r="FH3" s="12">
        <v>21048</v>
      </c>
      <c r="FI3" s="12">
        <v>3038</v>
      </c>
      <c r="FJ3" s="12">
        <v>1424179</v>
      </c>
      <c r="FK3" s="12">
        <v>1754457</v>
      </c>
      <c r="FL3" s="12">
        <v>955699</v>
      </c>
      <c r="FM3" s="12">
        <v>42163</v>
      </c>
      <c r="FN3" s="12">
        <v>48048</v>
      </c>
      <c r="FO3" s="12">
        <v>20416</v>
      </c>
      <c r="FP3" s="12">
        <v>11541</v>
      </c>
      <c r="FQ3" s="12">
        <v>1958112</v>
      </c>
      <c r="FR3" s="12">
        <v>848880</v>
      </c>
      <c r="FS3" s="12">
        <v>3774600</v>
      </c>
      <c r="FT3" s="12">
        <v>0</v>
      </c>
      <c r="FU3" s="12">
        <v>62735</v>
      </c>
      <c r="FV3" s="12">
        <v>264417</v>
      </c>
      <c r="FW3" s="12">
        <v>1684596</v>
      </c>
      <c r="FX3" s="12">
        <v>0</v>
      </c>
      <c r="FY3" s="12">
        <v>0</v>
      </c>
      <c r="FZ3" s="12">
        <v>1013760</v>
      </c>
      <c r="GA3" s="12">
        <v>12873933</v>
      </c>
      <c r="GB3" s="12">
        <v>76088</v>
      </c>
      <c r="GC3" s="11" t="s">
        <v>132</v>
      </c>
      <c r="GD3" s="12">
        <v>0</v>
      </c>
      <c r="GE3" s="12">
        <v>0</v>
      </c>
      <c r="GF3" s="12">
        <v>0</v>
      </c>
      <c r="GG3" s="12">
        <v>0</v>
      </c>
      <c r="GH3" s="12">
        <v>0</v>
      </c>
      <c r="GI3" s="12">
        <v>240</v>
      </c>
      <c r="GJ3" s="12">
        <v>240</v>
      </c>
      <c r="GK3" s="12">
        <v>143040</v>
      </c>
      <c r="GL3" s="12">
        <v>166320</v>
      </c>
      <c r="GM3" s="12">
        <v>97920</v>
      </c>
      <c r="GN3" s="12">
        <v>4560</v>
      </c>
      <c r="GO3" s="12">
        <v>3120</v>
      </c>
      <c r="GP3" s="12">
        <v>240</v>
      </c>
      <c r="GQ3" s="12">
        <v>240</v>
      </c>
      <c r="GR3" s="12">
        <v>123840</v>
      </c>
      <c r="GS3" s="12">
        <v>50640</v>
      </c>
      <c r="GT3" s="12">
        <v>243360</v>
      </c>
      <c r="GU3" s="12">
        <v>0</v>
      </c>
      <c r="GV3" s="12">
        <v>4560</v>
      </c>
      <c r="GW3" s="12">
        <v>14880</v>
      </c>
      <c r="GX3" s="12">
        <v>94800</v>
      </c>
      <c r="GY3" s="12">
        <v>0</v>
      </c>
      <c r="GZ3" s="12">
        <v>0</v>
      </c>
      <c r="HA3" s="12">
        <v>30240</v>
      </c>
      <c r="HB3" s="12">
        <v>0</v>
      </c>
      <c r="HC3" s="12">
        <v>0</v>
      </c>
      <c r="HD3" s="12">
        <v>0</v>
      </c>
      <c r="HE3" s="12">
        <v>0</v>
      </c>
      <c r="HF3" s="12">
        <v>0</v>
      </c>
      <c r="HG3" s="12">
        <v>21048</v>
      </c>
      <c r="HH3" s="12">
        <v>3038</v>
      </c>
      <c r="HI3" s="12">
        <v>1396070</v>
      </c>
      <c r="HJ3" s="12">
        <v>1623283</v>
      </c>
      <c r="HK3" s="12">
        <v>955699</v>
      </c>
      <c r="HL3" s="12">
        <v>44505</v>
      </c>
      <c r="HM3" s="12">
        <v>48048</v>
      </c>
      <c r="HN3" s="12">
        <v>20416</v>
      </c>
      <c r="HO3" s="12">
        <v>11541</v>
      </c>
      <c r="HP3" s="12">
        <v>1943049</v>
      </c>
      <c r="HQ3" s="12">
        <v>683640</v>
      </c>
      <c r="HR3" s="12">
        <v>3285360</v>
      </c>
      <c r="HS3" s="12">
        <v>0</v>
      </c>
      <c r="HT3" s="12">
        <v>59599</v>
      </c>
      <c r="HU3" s="12">
        <v>264417</v>
      </c>
      <c r="HV3" s="12">
        <v>1684596</v>
      </c>
      <c r="HW3" s="12">
        <v>0</v>
      </c>
      <c r="HX3" s="12">
        <v>0</v>
      </c>
      <c r="HY3" s="12">
        <v>3477600</v>
      </c>
      <c r="HZ3" s="12">
        <v>978240</v>
      </c>
      <c r="IA3" s="12">
        <v>15521913</v>
      </c>
      <c r="IB3" s="12">
        <v>76131</v>
      </c>
      <c r="IC3" s="11" t="s">
        <v>499</v>
      </c>
      <c r="ID3" s="12">
        <v>0</v>
      </c>
      <c r="IE3" s="12">
        <v>0</v>
      </c>
      <c r="IF3" s="12">
        <v>0</v>
      </c>
      <c r="IG3" s="12">
        <v>0</v>
      </c>
      <c r="IH3" s="12">
        <v>151680</v>
      </c>
      <c r="II3" s="12">
        <v>166320</v>
      </c>
      <c r="IJ3" s="12">
        <v>96960</v>
      </c>
      <c r="IK3" s="12">
        <v>1200</v>
      </c>
      <c r="IL3" s="12">
        <v>3120</v>
      </c>
      <c r="IM3" s="12">
        <v>9840</v>
      </c>
      <c r="IN3" s="12">
        <v>0</v>
      </c>
      <c r="IO3" s="12">
        <v>269040</v>
      </c>
      <c r="IP3" s="12">
        <v>0</v>
      </c>
      <c r="IQ3" s="12">
        <v>14880</v>
      </c>
      <c r="IR3" s="12">
        <v>94800</v>
      </c>
      <c r="IS3" s="12">
        <v>0</v>
      </c>
      <c r="IT3" s="12">
        <v>0</v>
      </c>
      <c r="IU3" s="12">
        <v>49440</v>
      </c>
      <c r="IV3" s="12">
        <v>0</v>
      </c>
      <c r="IW3" s="12">
        <v>0</v>
      </c>
      <c r="IX3" s="12">
        <v>0</v>
      </c>
      <c r="IY3" s="12">
        <v>0</v>
      </c>
      <c r="IZ3" s="12">
        <v>1480396</v>
      </c>
      <c r="JA3" s="12">
        <v>1623283</v>
      </c>
      <c r="JB3" s="12">
        <v>946329</v>
      </c>
      <c r="JC3" s="12">
        <v>11712</v>
      </c>
      <c r="JD3" s="12">
        <v>48048</v>
      </c>
      <c r="JE3" s="12">
        <v>154389</v>
      </c>
      <c r="JF3" s="12">
        <v>0</v>
      </c>
      <c r="JG3" s="12">
        <v>3632040</v>
      </c>
      <c r="JH3" s="12">
        <v>0</v>
      </c>
      <c r="JI3" s="12">
        <v>264417</v>
      </c>
      <c r="JJ3" s="12">
        <v>1684596</v>
      </c>
      <c r="JK3" s="12">
        <v>0</v>
      </c>
      <c r="JL3" s="12">
        <v>0</v>
      </c>
      <c r="JM3" s="12">
        <v>5685600</v>
      </c>
      <c r="JN3" s="12">
        <v>857280</v>
      </c>
      <c r="JO3" s="12">
        <v>15530812</v>
      </c>
      <c r="JP3" s="12">
        <v>76174</v>
      </c>
      <c r="JQ3" s="11" t="s">
        <v>485</v>
      </c>
      <c r="JR3" s="12">
        <v>0</v>
      </c>
      <c r="JS3" s="12">
        <v>0</v>
      </c>
      <c r="JT3" s="12">
        <v>0</v>
      </c>
      <c r="JU3" s="12">
        <v>0</v>
      </c>
      <c r="JV3" s="12">
        <v>152640</v>
      </c>
      <c r="JW3" s="12">
        <v>166320</v>
      </c>
      <c r="JX3" s="12">
        <v>129120</v>
      </c>
      <c r="JY3" s="12">
        <v>720</v>
      </c>
      <c r="JZ3" s="12">
        <v>2880</v>
      </c>
      <c r="KA3" s="12">
        <v>0</v>
      </c>
      <c r="KB3" s="12">
        <v>131040</v>
      </c>
      <c r="KC3" s="12">
        <v>0</v>
      </c>
      <c r="KD3" s="12">
        <v>14880</v>
      </c>
      <c r="KE3" s="12">
        <v>94800</v>
      </c>
      <c r="KF3" s="12">
        <v>0</v>
      </c>
      <c r="KG3" s="12">
        <v>0</v>
      </c>
      <c r="KH3" s="12">
        <v>64320</v>
      </c>
      <c r="KI3" s="12">
        <v>0</v>
      </c>
      <c r="KJ3" s="12">
        <v>0</v>
      </c>
      <c r="KK3" s="12">
        <v>0</v>
      </c>
      <c r="KL3" s="12">
        <v>0</v>
      </c>
      <c r="KM3" s="12">
        <v>0</v>
      </c>
      <c r="KN3" s="12">
        <v>1489766</v>
      </c>
      <c r="KO3" s="12">
        <v>1623283</v>
      </c>
      <c r="KP3" s="12">
        <v>1260211</v>
      </c>
      <c r="KQ3" s="12">
        <v>7027</v>
      </c>
      <c r="KR3" s="12">
        <v>44352</v>
      </c>
      <c r="KS3" s="12">
        <v>0</v>
      </c>
      <c r="KT3" s="12">
        <v>1769040</v>
      </c>
      <c r="KU3" s="12">
        <v>0</v>
      </c>
      <c r="KV3" s="12">
        <v>264417</v>
      </c>
      <c r="KW3" s="12">
        <v>1684596</v>
      </c>
      <c r="KX3" s="12">
        <v>0</v>
      </c>
      <c r="KY3" s="12">
        <v>0</v>
      </c>
      <c r="KZ3" s="12">
        <v>7396800</v>
      </c>
      <c r="LA3" s="12">
        <v>0</v>
      </c>
      <c r="LB3" s="12">
        <v>756720</v>
      </c>
      <c r="LC3" s="12">
        <v>15539493</v>
      </c>
      <c r="LD3" s="12">
        <v>76157</v>
      </c>
      <c r="LE3" s="11" t="s">
        <v>714</v>
      </c>
      <c r="LF3" s="12">
        <v>0</v>
      </c>
      <c r="LG3" s="12">
        <v>0</v>
      </c>
      <c r="LH3" s="12">
        <v>0</v>
      </c>
      <c r="LI3" s="12">
        <v>0</v>
      </c>
      <c r="LJ3" s="12">
        <v>152640</v>
      </c>
      <c r="LK3" s="12">
        <v>166320</v>
      </c>
      <c r="LL3" s="12">
        <v>129120</v>
      </c>
      <c r="LM3" s="12">
        <v>2400</v>
      </c>
      <c r="LN3" s="12">
        <v>0</v>
      </c>
      <c r="LO3" s="12">
        <v>141600</v>
      </c>
      <c r="LP3" s="12">
        <v>0</v>
      </c>
      <c r="LQ3" s="12">
        <v>11040</v>
      </c>
      <c r="LR3" s="12">
        <v>71040</v>
      </c>
      <c r="LS3" s="12">
        <v>0</v>
      </c>
      <c r="LT3" s="12">
        <v>0</v>
      </c>
      <c r="LU3" s="12">
        <v>67440</v>
      </c>
      <c r="LV3" s="12">
        <v>0</v>
      </c>
      <c r="LW3" s="12">
        <v>0</v>
      </c>
      <c r="LX3" s="12">
        <v>0</v>
      </c>
      <c r="LY3" s="12">
        <v>0</v>
      </c>
      <c r="LZ3" s="12">
        <v>0</v>
      </c>
      <c r="MA3" s="12">
        <v>1489766</v>
      </c>
      <c r="MB3" s="12">
        <v>1623283</v>
      </c>
      <c r="MC3" s="12">
        <v>1260211</v>
      </c>
      <c r="MD3" s="12">
        <v>36960</v>
      </c>
      <c r="ME3" s="12">
        <v>0</v>
      </c>
      <c r="MF3" s="12">
        <v>1911600</v>
      </c>
      <c r="MG3" s="12">
        <v>0</v>
      </c>
      <c r="MH3" s="12">
        <v>196180</v>
      </c>
      <c r="MI3" s="12">
        <v>1262380</v>
      </c>
      <c r="MJ3" s="12">
        <v>0</v>
      </c>
      <c r="MK3" s="12">
        <v>0</v>
      </c>
      <c r="ML3" s="12">
        <v>7755600</v>
      </c>
      <c r="MM3" s="12">
        <v>0</v>
      </c>
      <c r="MN3" s="12">
        <v>741600</v>
      </c>
      <c r="MO3" s="12">
        <v>15535982</v>
      </c>
      <c r="MP3" s="12">
        <v>76171</v>
      </c>
      <c r="MQ3" s="11" t="s">
        <v>485</v>
      </c>
      <c r="MR3" s="12">
        <v>0</v>
      </c>
      <c r="MS3" s="12">
        <v>0</v>
      </c>
      <c r="MT3" s="12">
        <v>0</v>
      </c>
      <c r="MU3" s="12">
        <v>0</v>
      </c>
      <c r="MV3" s="12">
        <v>0</v>
      </c>
      <c r="MW3" s="12">
        <v>0</v>
      </c>
      <c r="MX3" s="12">
        <v>0</v>
      </c>
      <c r="MY3" s="12">
        <v>0</v>
      </c>
      <c r="MZ3" s="12">
        <v>0</v>
      </c>
      <c r="NA3" s="12">
        <v>0</v>
      </c>
      <c r="NB3" s="12">
        <v>135120</v>
      </c>
      <c r="NC3" s="12">
        <v>0</v>
      </c>
      <c r="ND3" s="12">
        <v>0</v>
      </c>
      <c r="NE3" s="12">
        <v>0</v>
      </c>
      <c r="NF3" s="12">
        <v>0</v>
      </c>
      <c r="NG3" s="12">
        <v>0</v>
      </c>
      <c r="NH3" s="12">
        <v>0</v>
      </c>
      <c r="NI3" s="12">
        <v>0</v>
      </c>
      <c r="NJ3" s="12">
        <v>0</v>
      </c>
      <c r="NK3" s="12">
        <v>0</v>
      </c>
      <c r="NL3" s="12">
        <v>0</v>
      </c>
      <c r="NM3" s="12">
        <v>0</v>
      </c>
      <c r="NN3" s="12">
        <v>15538800</v>
      </c>
      <c r="NO3" s="12">
        <v>0</v>
      </c>
      <c r="NP3" s="12">
        <v>135120</v>
      </c>
      <c r="NQ3" s="12">
        <v>15538800</v>
      </c>
      <c r="NR3" s="12">
        <v>76171</v>
      </c>
      <c r="NS3" s="11" t="s">
        <v>485</v>
      </c>
      <c r="NT3" s="12">
        <v>0</v>
      </c>
      <c r="NU3" s="12">
        <v>0</v>
      </c>
      <c r="NV3" s="12">
        <v>0</v>
      </c>
      <c r="NW3" s="12">
        <v>0</v>
      </c>
      <c r="NX3" s="12">
        <v>0</v>
      </c>
      <c r="NY3" s="12">
        <v>0</v>
      </c>
      <c r="NZ3" s="12">
        <v>0</v>
      </c>
      <c r="OA3" s="12">
        <v>109440</v>
      </c>
      <c r="OB3" s="12">
        <v>25680</v>
      </c>
      <c r="OC3" s="12">
        <v>0</v>
      </c>
      <c r="OD3" s="12">
        <v>0</v>
      </c>
      <c r="OE3" s="12">
        <v>0</v>
      </c>
      <c r="OF3" s="12">
        <v>0</v>
      </c>
      <c r="OG3" s="12">
        <v>0</v>
      </c>
      <c r="OH3" s="12">
        <v>0</v>
      </c>
      <c r="OI3" s="12">
        <v>0</v>
      </c>
      <c r="OJ3" s="12">
        <v>12585600</v>
      </c>
      <c r="OK3" s="12">
        <v>2953200</v>
      </c>
      <c r="OL3" s="12">
        <v>135120</v>
      </c>
      <c r="OM3" s="12">
        <v>15538800</v>
      </c>
    </row>
    <row x14ac:dyDescent="0.25" r="4" customHeight="1" ht="18" customFormat="1" s="8">
      <c r="A4" s="9" t="s">
        <v>715</v>
      </c>
      <c r="B4" s="12">
        <v>0</v>
      </c>
      <c r="C4" s="16" t="s">
        <v>112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15782</v>
      </c>
      <c r="Y4" s="11" t="s">
        <v>716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205200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3219587</v>
      </c>
      <c r="AW4" s="12">
        <v>0</v>
      </c>
      <c r="AX4" s="12">
        <v>0</v>
      </c>
      <c r="AY4" s="12">
        <v>0</v>
      </c>
      <c r="AZ4" s="12">
        <v>205200</v>
      </c>
      <c r="BA4" s="12">
        <v>3219587</v>
      </c>
      <c r="BB4" s="12">
        <v>0</v>
      </c>
      <c r="BC4" s="11" t="s">
        <v>112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1" t="s">
        <v>112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1" t="s">
        <v>112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0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>
        <v>0</v>
      </c>
      <c r="FT4" s="12">
        <v>0</v>
      </c>
      <c r="FU4" s="12">
        <v>0</v>
      </c>
      <c r="FV4" s="12">
        <v>0</v>
      </c>
      <c r="FW4" s="12">
        <v>0</v>
      </c>
      <c r="FX4" s="12">
        <v>0</v>
      </c>
      <c r="FY4" s="12">
        <v>0</v>
      </c>
      <c r="FZ4" s="12">
        <v>0</v>
      </c>
      <c r="GA4" s="12">
        <v>0</v>
      </c>
      <c r="GB4" s="12">
        <v>19618</v>
      </c>
      <c r="GC4" s="11" t="s">
        <v>717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0</v>
      </c>
      <c r="GP4" s="12">
        <v>0</v>
      </c>
      <c r="GQ4" s="12">
        <v>0</v>
      </c>
      <c r="GR4" s="12">
        <v>0</v>
      </c>
      <c r="GS4" s="12">
        <v>0</v>
      </c>
      <c r="GT4" s="12">
        <v>0</v>
      </c>
      <c r="GU4" s="12">
        <v>0</v>
      </c>
      <c r="GV4" s="12">
        <v>0</v>
      </c>
      <c r="GW4" s="12">
        <v>0</v>
      </c>
      <c r="GX4" s="12">
        <v>0</v>
      </c>
      <c r="GY4" s="12">
        <v>0</v>
      </c>
      <c r="GZ4" s="12">
        <v>0</v>
      </c>
      <c r="HA4" s="12">
        <v>34800</v>
      </c>
      <c r="HB4" s="12">
        <v>0</v>
      </c>
      <c r="HC4" s="12">
        <v>0</v>
      </c>
      <c r="HD4" s="12">
        <v>0</v>
      </c>
      <c r="HE4" s="12">
        <v>0</v>
      </c>
      <c r="HF4" s="12">
        <v>0</v>
      </c>
      <c r="HG4" s="12">
        <v>0</v>
      </c>
      <c r="HH4" s="12">
        <v>0</v>
      </c>
      <c r="HI4" s="12">
        <v>0</v>
      </c>
      <c r="HJ4" s="12">
        <v>0</v>
      </c>
      <c r="HK4" s="12">
        <v>0</v>
      </c>
      <c r="HL4" s="12">
        <v>0</v>
      </c>
      <c r="HM4" s="12">
        <v>0</v>
      </c>
      <c r="HN4" s="12">
        <v>0</v>
      </c>
      <c r="HO4" s="12">
        <v>0</v>
      </c>
      <c r="HP4" s="12">
        <v>0</v>
      </c>
      <c r="HQ4" s="12">
        <v>0</v>
      </c>
      <c r="HR4" s="12">
        <v>0</v>
      </c>
      <c r="HS4" s="12">
        <v>0</v>
      </c>
      <c r="HT4" s="12">
        <v>0</v>
      </c>
      <c r="HU4" s="12">
        <v>0</v>
      </c>
      <c r="HV4" s="12">
        <v>0</v>
      </c>
      <c r="HW4" s="12">
        <v>0</v>
      </c>
      <c r="HX4" s="12">
        <v>0</v>
      </c>
      <c r="HY4" s="12">
        <v>4002000</v>
      </c>
      <c r="HZ4" s="12">
        <v>34800</v>
      </c>
      <c r="IA4" s="12">
        <v>4002000</v>
      </c>
      <c r="IB4" s="12">
        <v>24353</v>
      </c>
      <c r="IC4" s="11" t="s">
        <v>718</v>
      </c>
      <c r="ID4" s="12">
        <v>0</v>
      </c>
      <c r="IE4" s="12">
        <v>0</v>
      </c>
      <c r="IF4" s="12">
        <v>0</v>
      </c>
      <c r="IG4" s="12">
        <v>0</v>
      </c>
      <c r="IH4" s="12">
        <v>0</v>
      </c>
      <c r="II4" s="12">
        <v>0</v>
      </c>
      <c r="IJ4" s="12">
        <v>0</v>
      </c>
      <c r="IK4" s="12">
        <v>0</v>
      </c>
      <c r="IL4" s="12">
        <v>0</v>
      </c>
      <c r="IM4" s="12">
        <v>0</v>
      </c>
      <c r="IN4" s="12">
        <v>0</v>
      </c>
      <c r="IO4" s="12">
        <v>0</v>
      </c>
      <c r="IP4" s="12">
        <v>0</v>
      </c>
      <c r="IQ4" s="12">
        <v>0</v>
      </c>
      <c r="IR4" s="12">
        <v>0</v>
      </c>
      <c r="IS4" s="12">
        <v>0</v>
      </c>
      <c r="IT4" s="12">
        <v>0</v>
      </c>
      <c r="IU4" s="12">
        <v>43200</v>
      </c>
      <c r="IV4" s="12">
        <v>0</v>
      </c>
      <c r="IW4" s="12">
        <v>0</v>
      </c>
      <c r="IX4" s="12">
        <v>0</v>
      </c>
      <c r="IY4" s="12">
        <v>0</v>
      </c>
      <c r="IZ4" s="12">
        <v>0</v>
      </c>
      <c r="JA4" s="12">
        <v>0</v>
      </c>
      <c r="JB4" s="12">
        <v>0</v>
      </c>
      <c r="JC4" s="12">
        <v>0</v>
      </c>
      <c r="JD4" s="12">
        <v>0</v>
      </c>
      <c r="JE4" s="12">
        <v>0</v>
      </c>
      <c r="JF4" s="12">
        <v>0</v>
      </c>
      <c r="JG4" s="12">
        <v>0</v>
      </c>
      <c r="JH4" s="12">
        <v>0</v>
      </c>
      <c r="JI4" s="12">
        <v>0</v>
      </c>
      <c r="JJ4" s="12">
        <v>0</v>
      </c>
      <c r="JK4" s="12">
        <v>0</v>
      </c>
      <c r="JL4" s="12">
        <v>0</v>
      </c>
      <c r="JM4" s="12">
        <v>4968000</v>
      </c>
      <c r="JN4" s="12">
        <v>43200</v>
      </c>
      <c r="JO4" s="12">
        <v>4968000</v>
      </c>
      <c r="JP4" s="12">
        <v>22594</v>
      </c>
      <c r="JQ4" s="11" t="s">
        <v>719</v>
      </c>
      <c r="JR4" s="12">
        <v>0</v>
      </c>
      <c r="JS4" s="12">
        <v>0</v>
      </c>
      <c r="JT4" s="12">
        <v>0</v>
      </c>
      <c r="JU4" s="12">
        <v>0</v>
      </c>
      <c r="JV4" s="12">
        <v>0</v>
      </c>
      <c r="JW4" s="12">
        <v>0</v>
      </c>
      <c r="JX4" s="12">
        <v>0</v>
      </c>
      <c r="JY4" s="12">
        <v>0</v>
      </c>
      <c r="JZ4" s="12">
        <v>0</v>
      </c>
      <c r="KA4" s="12">
        <v>0</v>
      </c>
      <c r="KB4" s="12">
        <v>0</v>
      </c>
      <c r="KC4" s="12">
        <v>0</v>
      </c>
      <c r="KD4" s="12">
        <v>0</v>
      </c>
      <c r="KE4" s="12">
        <v>0</v>
      </c>
      <c r="KF4" s="12">
        <v>0</v>
      </c>
      <c r="KG4" s="12">
        <v>0</v>
      </c>
      <c r="KH4" s="12">
        <v>35280</v>
      </c>
      <c r="KI4" s="12">
        <v>4800</v>
      </c>
      <c r="KJ4" s="12">
        <v>0</v>
      </c>
      <c r="KK4" s="12">
        <v>0</v>
      </c>
      <c r="KL4" s="12">
        <v>0</v>
      </c>
      <c r="KM4" s="12">
        <v>0</v>
      </c>
      <c r="KN4" s="12">
        <v>0</v>
      </c>
      <c r="KO4" s="12">
        <v>0</v>
      </c>
      <c r="KP4" s="12">
        <v>0</v>
      </c>
      <c r="KQ4" s="12">
        <v>0</v>
      </c>
      <c r="KR4" s="12">
        <v>0</v>
      </c>
      <c r="KS4" s="12">
        <v>0</v>
      </c>
      <c r="KT4" s="12">
        <v>0</v>
      </c>
      <c r="KU4" s="12">
        <v>0</v>
      </c>
      <c r="KV4" s="12">
        <v>0</v>
      </c>
      <c r="KW4" s="12">
        <v>0</v>
      </c>
      <c r="KX4" s="12">
        <v>0</v>
      </c>
      <c r="KY4" s="12">
        <v>0</v>
      </c>
      <c r="KZ4" s="12">
        <v>4057200</v>
      </c>
      <c r="LA4" s="12">
        <v>552000</v>
      </c>
      <c r="LB4" s="12">
        <v>40080</v>
      </c>
      <c r="LC4" s="12">
        <v>4609200</v>
      </c>
      <c r="LD4" s="12">
        <v>59665</v>
      </c>
      <c r="LE4" s="11" t="s">
        <v>720</v>
      </c>
      <c r="LF4" s="12">
        <v>0</v>
      </c>
      <c r="LG4" s="12">
        <v>0</v>
      </c>
      <c r="LH4" s="12">
        <v>0</v>
      </c>
      <c r="LI4" s="12">
        <v>0</v>
      </c>
      <c r="LJ4" s="12">
        <v>0</v>
      </c>
      <c r="LK4" s="12">
        <v>0</v>
      </c>
      <c r="LL4" s="12">
        <v>0</v>
      </c>
      <c r="LM4" s="12">
        <v>0</v>
      </c>
      <c r="LN4" s="12">
        <v>0</v>
      </c>
      <c r="LO4" s="12">
        <v>0</v>
      </c>
      <c r="LP4" s="12">
        <v>0</v>
      </c>
      <c r="LQ4" s="12">
        <v>0</v>
      </c>
      <c r="LR4" s="12">
        <v>0</v>
      </c>
      <c r="LS4" s="12">
        <v>0</v>
      </c>
      <c r="LT4" s="12">
        <v>0</v>
      </c>
      <c r="LU4" s="12">
        <v>85920</v>
      </c>
      <c r="LV4" s="12">
        <v>19920</v>
      </c>
      <c r="LW4" s="12">
        <v>0</v>
      </c>
      <c r="LX4" s="12">
        <v>0</v>
      </c>
      <c r="LY4" s="12">
        <v>0</v>
      </c>
      <c r="LZ4" s="12">
        <v>0</v>
      </c>
      <c r="MA4" s="12">
        <v>0</v>
      </c>
      <c r="MB4" s="12">
        <v>0</v>
      </c>
      <c r="MC4" s="12">
        <v>0</v>
      </c>
      <c r="MD4" s="12">
        <v>0</v>
      </c>
      <c r="ME4" s="12">
        <v>0</v>
      </c>
      <c r="MF4" s="12">
        <v>0</v>
      </c>
      <c r="MG4" s="12">
        <v>0</v>
      </c>
      <c r="MH4" s="12">
        <v>0</v>
      </c>
      <c r="MI4" s="12">
        <v>0</v>
      </c>
      <c r="MJ4" s="12">
        <v>0</v>
      </c>
      <c r="MK4" s="12">
        <v>0</v>
      </c>
      <c r="ML4" s="12">
        <v>9880800</v>
      </c>
      <c r="MM4" s="12">
        <v>2290800</v>
      </c>
      <c r="MN4" s="12">
        <v>105840</v>
      </c>
      <c r="MO4" s="12">
        <v>12171600</v>
      </c>
      <c r="MP4" s="12">
        <v>31118</v>
      </c>
      <c r="MQ4" s="11" t="s">
        <v>721</v>
      </c>
      <c r="MR4" s="12">
        <v>0</v>
      </c>
      <c r="MS4" s="12">
        <v>0</v>
      </c>
      <c r="MT4" s="12">
        <v>0</v>
      </c>
      <c r="MU4" s="12">
        <v>0</v>
      </c>
      <c r="MV4" s="12">
        <v>0</v>
      </c>
      <c r="MW4" s="12">
        <v>0</v>
      </c>
      <c r="MX4" s="12">
        <v>0</v>
      </c>
      <c r="MY4" s="12">
        <v>0</v>
      </c>
      <c r="MZ4" s="12">
        <v>0</v>
      </c>
      <c r="NA4" s="12">
        <v>0</v>
      </c>
      <c r="NB4" s="12">
        <v>15360</v>
      </c>
      <c r="NC4" s="12">
        <v>39840</v>
      </c>
      <c r="ND4" s="12">
        <v>0</v>
      </c>
      <c r="NE4" s="12">
        <v>0</v>
      </c>
      <c r="NF4" s="12">
        <v>0</v>
      </c>
      <c r="NG4" s="12">
        <v>0</v>
      </c>
      <c r="NH4" s="12">
        <v>0</v>
      </c>
      <c r="NI4" s="12">
        <v>0</v>
      </c>
      <c r="NJ4" s="12">
        <v>0</v>
      </c>
      <c r="NK4" s="12">
        <v>0</v>
      </c>
      <c r="NL4" s="12">
        <v>0</v>
      </c>
      <c r="NM4" s="12">
        <v>0</v>
      </c>
      <c r="NN4" s="12">
        <v>1766400</v>
      </c>
      <c r="NO4" s="12">
        <v>4581600</v>
      </c>
      <c r="NP4" s="12">
        <v>55200</v>
      </c>
      <c r="NQ4" s="12">
        <v>6348000</v>
      </c>
      <c r="NR4" s="12">
        <v>27735</v>
      </c>
      <c r="NS4" s="11" t="s">
        <v>722</v>
      </c>
      <c r="NT4" s="12">
        <v>0</v>
      </c>
      <c r="NU4" s="12">
        <v>0</v>
      </c>
      <c r="NV4" s="12">
        <v>0</v>
      </c>
      <c r="NW4" s="12">
        <v>0</v>
      </c>
      <c r="NX4" s="12">
        <v>0</v>
      </c>
      <c r="NY4" s="12">
        <v>0</v>
      </c>
      <c r="NZ4" s="12">
        <v>0</v>
      </c>
      <c r="OA4" s="12">
        <v>0</v>
      </c>
      <c r="OB4" s="12">
        <v>49200</v>
      </c>
      <c r="OC4" s="12">
        <v>0</v>
      </c>
      <c r="OD4" s="12">
        <v>0</v>
      </c>
      <c r="OE4" s="12">
        <v>0</v>
      </c>
      <c r="OF4" s="12">
        <v>0</v>
      </c>
      <c r="OG4" s="12">
        <v>0</v>
      </c>
      <c r="OH4" s="12">
        <v>0</v>
      </c>
      <c r="OI4" s="12">
        <v>0</v>
      </c>
      <c r="OJ4" s="12">
        <v>0</v>
      </c>
      <c r="OK4" s="12">
        <v>5658000</v>
      </c>
      <c r="OL4" s="12">
        <v>49200</v>
      </c>
      <c r="OM4" s="12">
        <v>5658000</v>
      </c>
    </row>
    <row x14ac:dyDescent="0.25" r="5" customHeight="1" ht="18" customFormat="1" s="8">
      <c r="A5" s="9" t="s">
        <v>723</v>
      </c>
      <c r="B5" s="12">
        <v>26514</v>
      </c>
      <c r="C5" s="16" t="s">
        <v>724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53520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5408792</v>
      </c>
      <c r="V5" s="12">
        <v>53520</v>
      </c>
      <c r="W5" s="12">
        <v>5408792</v>
      </c>
      <c r="X5" s="12">
        <v>17002</v>
      </c>
      <c r="Y5" s="11" t="s">
        <v>725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34320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3468418</v>
      </c>
      <c r="AZ5" s="12">
        <v>34320</v>
      </c>
      <c r="BA5" s="12">
        <v>3468418</v>
      </c>
      <c r="BB5" s="12">
        <v>3210</v>
      </c>
      <c r="BC5" s="11" t="s">
        <v>726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6480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654876</v>
      </c>
      <c r="CD5" s="12">
        <v>6480</v>
      </c>
      <c r="CE5" s="12">
        <v>654876</v>
      </c>
      <c r="CF5" s="12">
        <v>76212</v>
      </c>
      <c r="CG5" s="11" t="s">
        <v>467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153840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15547248</v>
      </c>
      <c r="EB5" s="12">
        <v>153840</v>
      </c>
      <c r="EC5" s="12">
        <v>15547248</v>
      </c>
      <c r="ED5" s="12">
        <v>76212</v>
      </c>
      <c r="EE5" s="11" t="s">
        <v>467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153840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15547248</v>
      </c>
      <c r="FZ5" s="12">
        <v>153840</v>
      </c>
      <c r="GA5" s="12">
        <v>15547248</v>
      </c>
      <c r="GB5" s="12">
        <v>76212</v>
      </c>
      <c r="GC5" s="11" t="s">
        <v>467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153840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15547248</v>
      </c>
      <c r="HY5" s="12">
        <v>0</v>
      </c>
      <c r="HZ5" s="12">
        <v>153840</v>
      </c>
      <c r="IA5" s="12">
        <v>15547248</v>
      </c>
      <c r="IB5" s="12">
        <v>76212</v>
      </c>
      <c r="IC5" s="11" t="s">
        <v>467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153840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15547248</v>
      </c>
      <c r="JM5" s="12">
        <v>0</v>
      </c>
      <c r="JN5" s="12">
        <v>153840</v>
      </c>
      <c r="JO5" s="12">
        <v>15547248</v>
      </c>
      <c r="JP5" s="12">
        <v>76212</v>
      </c>
      <c r="JQ5" s="11" t="s">
        <v>467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153840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15547248</v>
      </c>
      <c r="KZ5" s="12">
        <v>0</v>
      </c>
      <c r="LA5" s="12">
        <v>0</v>
      </c>
      <c r="LB5" s="12">
        <v>153840</v>
      </c>
      <c r="LC5" s="12">
        <v>15547248</v>
      </c>
      <c r="LD5" s="12">
        <v>76212</v>
      </c>
      <c r="LE5" s="11" t="s">
        <v>467</v>
      </c>
      <c r="LF5" s="12">
        <v>0</v>
      </c>
      <c r="LG5" s="12">
        <v>0</v>
      </c>
      <c r="LH5" s="12">
        <v>0</v>
      </c>
      <c r="LI5" s="12">
        <v>0</v>
      </c>
      <c r="LJ5" s="12">
        <v>0</v>
      </c>
      <c r="LK5" s="12">
        <v>0</v>
      </c>
      <c r="LL5" s="12">
        <v>0</v>
      </c>
      <c r="LM5" s="12">
        <v>0</v>
      </c>
      <c r="LN5" s="12">
        <v>0</v>
      </c>
      <c r="LO5" s="12">
        <v>0</v>
      </c>
      <c r="LP5" s="12">
        <v>0</v>
      </c>
      <c r="LQ5" s="12">
        <v>0</v>
      </c>
      <c r="LR5" s="12">
        <v>0</v>
      </c>
      <c r="LS5" s="12">
        <v>0</v>
      </c>
      <c r="LT5" s="12">
        <v>153840</v>
      </c>
      <c r="LU5" s="12">
        <v>0</v>
      </c>
      <c r="LV5" s="12">
        <v>0</v>
      </c>
      <c r="LW5" s="12">
        <v>0</v>
      </c>
      <c r="LX5" s="12">
        <v>0</v>
      </c>
      <c r="LY5" s="12">
        <v>0</v>
      </c>
      <c r="LZ5" s="12">
        <v>0</v>
      </c>
      <c r="MA5" s="12">
        <v>0</v>
      </c>
      <c r="MB5" s="12">
        <v>0</v>
      </c>
      <c r="MC5" s="12">
        <v>0</v>
      </c>
      <c r="MD5" s="12">
        <v>0</v>
      </c>
      <c r="ME5" s="12">
        <v>0</v>
      </c>
      <c r="MF5" s="12">
        <v>0</v>
      </c>
      <c r="MG5" s="12">
        <v>0</v>
      </c>
      <c r="MH5" s="12">
        <v>0</v>
      </c>
      <c r="MI5" s="12">
        <v>0</v>
      </c>
      <c r="MJ5" s="12">
        <v>0</v>
      </c>
      <c r="MK5" s="12">
        <v>15547248</v>
      </c>
      <c r="ML5" s="12">
        <v>0</v>
      </c>
      <c r="MM5" s="12">
        <v>0</v>
      </c>
      <c r="MN5" s="12">
        <v>153840</v>
      </c>
      <c r="MO5" s="12">
        <v>15547248</v>
      </c>
      <c r="MP5" s="12">
        <v>76212</v>
      </c>
      <c r="MQ5" s="11" t="s">
        <v>467</v>
      </c>
      <c r="MR5" s="12">
        <v>0</v>
      </c>
      <c r="MS5" s="12">
        <v>0</v>
      </c>
      <c r="MT5" s="12">
        <v>0</v>
      </c>
      <c r="MU5" s="12">
        <v>0</v>
      </c>
      <c r="MV5" s="12">
        <v>0</v>
      </c>
      <c r="MW5" s="12">
        <v>0</v>
      </c>
      <c r="MX5" s="12">
        <v>0</v>
      </c>
      <c r="MY5" s="12">
        <v>0</v>
      </c>
      <c r="MZ5" s="12">
        <v>0</v>
      </c>
      <c r="NA5" s="12">
        <v>153840</v>
      </c>
      <c r="NB5" s="12">
        <v>0</v>
      </c>
      <c r="NC5" s="12">
        <v>0</v>
      </c>
      <c r="ND5" s="12">
        <v>0</v>
      </c>
      <c r="NE5" s="12">
        <v>0</v>
      </c>
      <c r="NF5" s="12">
        <v>0</v>
      </c>
      <c r="NG5" s="12">
        <v>0</v>
      </c>
      <c r="NH5" s="12">
        <v>0</v>
      </c>
      <c r="NI5" s="12">
        <v>0</v>
      </c>
      <c r="NJ5" s="12">
        <v>0</v>
      </c>
      <c r="NK5" s="12">
        <v>0</v>
      </c>
      <c r="NL5" s="12">
        <v>0</v>
      </c>
      <c r="NM5" s="12">
        <v>15547248</v>
      </c>
      <c r="NN5" s="12">
        <v>0</v>
      </c>
      <c r="NO5" s="12">
        <v>0</v>
      </c>
      <c r="NP5" s="12">
        <v>153840</v>
      </c>
      <c r="NQ5" s="12">
        <v>15547248</v>
      </c>
      <c r="NR5" s="12">
        <v>76212</v>
      </c>
      <c r="NS5" s="11" t="s">
        <v>467</v>
      </c>
      <c r="NT5" s="12">
        <v>0</v>
      </c>
      <c r="NU5" s="12">
        <v>0</v>
      </c>
      <c r="NV5" s="12">
        <v>0</v>
      </c>
      <c r="NW5" s="12">
        <v>0</v>
      </c>
      <c r="NX5" s="12">
        <v>0</v>
      </c>
      <c r="NY5" s="12">
        <v>0</v>
      </c>
      <c r="NZ5" s="12">
        <v>153840</v>
      </c>
      <c r="OA5" s="12">
        <v>0</v>
      </c>
      <c r="OB5" s="12">
        <v>0</v>
      </c>
      <c r="OC5" s="12">
        <v>0</v>
      </c>
      <c r="OD5" s="12">
        <v>0</v>
      </c>
      <c r="OE5" s="12">
        <v>0</v>
      </c>
      <c r="OF5" s="12">
        <v>0</v>
      </c>
      <c r="OG5" s="12">
        <v>0</v>
      </c>
      <c r="OH5" s="12">
        <v>0</v>
      </c>
      <c r="OI5" s="12">
        <v>15547248</v>
      </c>
      <c r="OJ5" s="12">
        <v>0</v>
      </c>
      <c r="OK5" s="12">
        <v>0</v>
      </c>
      <c r="OL5" s="12">
        <v>153840</v>
      </c>
      <c r="OM5" s="12">
        <v>15547248</v>
      </c>
    </row>
    <row x14ac:dyDescent="0.25" r="6" customHeight="1" ht="18" customFormat="1" s="8">
      <c r="A6" s="9" t="s">
        <v>727</v>
      </c>
      <c r="B6" s="12">
        <v>0</v>
      </c>
      <c r="C6" s="16" t="s">
        <v>112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1" t="s">
        <v>112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1" t="s">
        <v>112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21341</v>
      </c>
      <c r="CG6" s="11" t="s">
        <v>728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30000</v>
      </c>
      <c r="CZ6" s="12">
        <v>0</v>
      </c>
      <c r="DA6" s="12">
        <v>0</v>
      </c>
      <c r="DB6" s="12">
        <v>0</v>
      </c>
      <c r="DC6" s="12">
        <v>2400</v>
      </c>
      <c r="DD6" s="12">
        <v>10560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3031834</v>
      </c>
      <c r="DW6" s="12">
        <v>0</v>
      </c>
      <c r="DX6" s="12">
        <v>0</v>
      </c>
      <c r="DY6" s="12">
        <v>0</v>
      </c>
      <c r="DZ6" s="12">
        <v>254546</v>
      </c>
      <c r="EA6" s="12">
        <v>1067205</v>
      </c>
      <c r="EB6" s="12">
        <v>42960</v>
      </c>
      <c r="EC6" s="12">
        <v>4353587</v>
      </c>
      <c r="ED6" s="12">
        <v>28632</v>
      </c>
      <c r="EE6" s="11" t="s">
        <v>729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30000</v>
      </c>
      <c r="EX6" s="12">
        <v>0</v>
      </c>
      <c r="EY6" s="12">
        <v>0</v>
      </c>
      <c r="EZ6" s="12">
        <v>0</v>
      </c>
      <c r="FA6" s="12">
        <v>13680</v>
      </c>
      <c r="FB6" s="12">
        <v>13440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3031834</v>
      </c>
      <c r="FU6" s="12">
        <v>0</v>
      </c>
      <c r="FV6" s="12">
        <v>0</v>
      </c>
      <c r="FW6" s="12">
        <v>0</v>
      </c>
      <c r="FX6" s="12">
        <v>1450916</v>
      </c>
      <c r="FY6" s="12">
        <v>1358261</v>
      </c>
      <c r="FZ6" s="12">
        <v>57120</v>
      </c>
      <c r="GA6" s="12">
        <v>5841013</v>
      </c>
      <c r="GB6" s="12">
        <v>44328</v>
      </c>
      <c r="GC6" s="11" t="s">
        <v>730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30000</v>
      </c>
      <c r="GV6" s="12">
        <v>0</v>
      </c>
      <c r="GW6" s="12">
        <v>0</v>
      </c>
      <c r="GX6" s="12">
        <v>0</v>
      </c>
      <c r="GY6" s="12">
        <v>33120</v>
      </c>
      <c r="GZ6" s="12">
        <v>24720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3031834</v>
      </c>
      <c r="HT6" s="12">
        <v>0</v>
      </c>
      <c r="HU6" s="12">
        <v>0</v>
      </c>
      <c r="HV6" s="12">
        <v>0</v>
      </c>
      <c r="HW6" s="12">
        <v>3512745</v>
      </c>
      <c r="HX6" s="12">
        <v>2498231</v>
      </c>
      <c r="HY6" s="12">
        <v>0</v>
      </c>
      <c r="HZ6" s="12">
        <v>87840</v>
      </c>
      <c r="IA6" s="12">
        <v>9042811</v>
      </c>
      <c r="IB6" s="12">
        <v>46062</v>
      </c>
      <c r="IC6" s="11" t="s">
        <v>731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12240</v>
      </c>
      <c r="IQ6" s="12">
        <v>0</v>
      </c>
      <c r="IR6" s="12">
        <v>0</v>
      </c>
      <c r="IS6" s="12">
        <v>16560</v>
      </c>
      <c r="IT6" s="12">
        <v>63360</v>
      </c>
      <c r="IU6" s="12">
        <v>0</v>
      </c>
      <c r="IV6" s="12">
        <v>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1236988</v>
      </c>
      <c r="JI6" s="12">
        <v>0</v>
      </c>
      <c r="JJ6" s="12">
        <v>0</v>
      </c>
      <c r="JK6" s="12">
        <v>1756372</v>
      </c>
      <c r="JL6" s="12">
        <v>6403234</v>
      </c>
      <c r="JM6" s="12">
        <v>0</v>
      </c>
      <c r="JN6" s="12">
        <v>92160</v>
      </c>
      <c r="JO6" s="12">
        <v>9396595</v>
      </c>
      <c r="JP6" s="12">
        <v>76148</v>
      </c>
      <c r="JQ6" s="11" t="s">
        <v>502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0</v>
      </c>
      <c r="KA6" s="12">
        <v>0</v>
      </c>
      <c r="KB6" s="12">
        <v>0</v>
      </c>
      <c r="KC6" s="12">
        <v>0</v>
      </c>
      <c r="KD6" s="12">
        <v>0</v>
      </c>
      <c r="KE6" s="12">
        <v>0</v>
      </c>
      <c r="KF6" s="12">
        <v>16800</v>
      </c>
      <c r="KG6" s="12">
        <v>136080</v>
      </c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0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1781827</v>
      </c>
      <c r="KY6" s="12">
        <v>13752401</v>
      </c>
      <c r="KZ6" s="12">
        <v>0</v>
      </c>
      <c r="LA6" s="12">
        <v>0</v>
      </c>
      <c r="LB6" s="12">
        <v>152880</v>
      </c>
      <c r="LC6" s="12">
        <v>15534229</v>
      </c>
      <c r="LD6" s="12">
        <v>76212</v>
      </c>
      <c r="LE6" s="11" t="s">
        <v>467</v>
      </c>
      <c r="LF6" s="12">
        <v>0</v>
      </c>
      <c r="LG6" s="12">
        <v>0</v>
      </c>
      <c r="LH6" s="12">
        <v>0</v>
      </c>
      <c r="LI6" s="12">
        <v>0</v>
      </c>
      <c r="LJ6" s="12">
        <v>0</v>
      </c>
      <c r="LK6" s="12">
        <v>0</v>
      </c>
      <c r="LL6" s="12">
        <v>0</v>
      </c>
      <c r="LM6" s="12">
        <v>0</v>
      </c>
      <c r="LN6" s="12">
        <v>0</v>
      </c>
      <c r="LO6" s="12">
        <v>0</v>
      </c>
      <c r="LP6" s="12">
        <v>0</v>
      </c>
      <c r="LQ6" s="12">
        <v>0</v>
      </c>
      <c r="LR6" s="12">
        <v>0</v>
      </c>
      <c r="LS6" s="12">
        <v>0</v>
      </c>
      <c r="LT6" s="12">
        <v>153840</v>
      </c>
      <c r="LU6" s="12">
        <v>0</v>
      </c>
      <c r="LV6" s="12">
        <v>0</v>
      </c>
      <c r="LW6" s="12">
        <v>0</v>
      </c>
      <c r="LX6" s="12">
        <v>0</v>
      </c>
      <c r="LY6" s="12">
        <v>0</v>
      </c>
      <c r="LZ6" s="12">
        <v>0</v>
      </c>
      <c r="MA6" s="12">
        <v>0</v>
      </c>
      <c r="MB6" s="12">
        <v>0</v>
      </c>
      <c r="MC6" s="12">
        <v>0</v>
      </c>
      <c r="MD6" s="12">
        <v>0</v>
      </c>
      <c r="ME6" s="12">
        <v>0</v>
      </c>
      <c r="MF6" s="12">
        <v>0</v>
      </c>
      <c r="MG6" s="12">
        <v>0</v>
      </c>
      <c r="MH6" s="12">
        <v>0</v>
      </c>
      <c r="MI6" s="12">
        <v>0</v>
      </c>
      <c r="MJ6" s="12">
        <v>0</v>
      </c>
      <c r="MK6" s="12">
        <v>15547248</v>
      </c>
      <c r="ML6" s="12">
        <v>0</v>
      </c>
      <c r="MM6" s="12">
        <v>0</v>
      </c>
      <c r="MN6" s="12">
        <v>153840</v>
      </c>
      <c r="MO6" s="12">
        <v>15547248</v>
      </c>
      <c r="MP6" s="12">
        <v>76212</v>
      </c>
      <c r="MQ6" s="11" t="s">
        <v>467</v>
      </c>
      <c r="MR6" s="12">
        <v>0</v>
      </c>
      <c r="MS6" s="12">
        <v>0</v>
      </c>
      <c r="MT6" s="12">
        <v>0</v>
      </c>
      <c r="MU6" s="12">
        <v>0</v>
      </c>
      <c r="MV6" s="12">
        <v>0</v>
      </c>
      <c r="MW6" s="12">
        <v>0</v>
      </c>
      <c r="MX6" s="12">
        <v>0</v>
      </c>
      <c r="MY6" s="12">
        <v>0</v>
      </c>
      <c r="MZ6" s="12">
        <v>0</v>
      </c>
      <c r="NA6" s="12">
        <v>153840</v>
      </c>
      <c r="NB6" s="12">
        <v>0</v>
      </c>
      <c r="NC6" s="12">
        <v>0</v>
      </c>
      <c r="ND6" s="12">
        <v>0</v>
      </c>
      <c r="NE6" s="12">
        <v>0</v>
      </c>
      <c r="NF6" s="12">
        <v>0</v>
      </c>
      <c r="NG6" s="12">
        <v>0</v>
      </c>
      <c r="NH6" s="12">
        <v>0</v>
      </c>
      <c r="NI6" s="12">
        <v>0</v>
      </c>
      <c r="NJ6" s="12">
        <v>0</v>
      </c>
      <c r="NK6" s="12">
        <v>0</v>
      </c>
      <c r="NL6" s="12">
        <v>0</v>
      </c>
      <c r="NM6" s="12">
        <v>15547248</v>
      </c>
      <c r="NN6" s="12">
        <v>0</v>
      </c>
      <c r="NO6" s="12">
        <v>0</v>
      </c>
      <c r="NP6" s="12">
        <v>153840</v>
      </c>
      <c r="NQ6" s="12">
        <v>15547248</v>
      </c>
      <c r="NR6" s="12">
        <v>76212</v>
      </c>
      <c r="NS6" s="11" t="s">
        <v>467</v>
      </c>
      <c r="NT6" s="12">
        <v>0</v>
      </c>
      <c r="NU6" s="12">
        <v>0</v>
      </c>
      <c r="NV6" s="12">
        <v>0</v>
      </c>
      <c r="NW6" s="12">
        <v>0</v>
      </c>
      <c r="NX6" s="12">
        <v>0</v>
      </c>
      <c r="NY6" s="12">
        <v>0</v>
      </c>
      <c r="NZ6" s="12">
        <v>153840</v>
      </c>
      <c r="OA6" s="12">
        <v>0</v>
      </c>
      <c r="OB6" s="12">
        <v>0</v>
      </c>
      <c r="OC6" s="12">
        <v>0</v>
      </c>
      <c r="OD6" s="12">
        <v>0</v>
      </c>
      <c r="OE6" s="12">
        <v>0</v>
      </c>
      <c r="OF6" s="12">
        <v>0</v>
      </c>
      <c r="OG6" s="12">
        <v>0</v>
      </c>
      <c r="OH6" s="12">
        <v>0</v>
      </c>
      <c r="OI6" s="12">
        <v>15547248</v>
      </c>
      <c r="OJ6" s="12">
        <v>0</v>
      </c>
      <c r="OK6" s="12">
        <v>0</v>
      </c>
      <c r="OL6" s="12">
        <v>153840</v>
      </c>
      <c r="OM6" s="12">
        <v>15547248</v>
      </c>
    </row>
    <row x14ac:dyDescent="0.25" r="7" customHeight="1" ht="18" customFormat="1" s="8">
      <c r="A7" s="9" t="s">
        <v>732</v>
      </c>
      <c r="B7" s="12">
        <v>0</v>
      </c>
      <c r="C7" s="16" t="s">
        <v>112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1" t="s">
        <v>112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1" t="s">
        <v>112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1" t="s">
        <v>112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1" t="s">
        <v>112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1" t="s">
        <v>112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1" t="s">
        <v>112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2">
        <v>0</v>
      </c>
      <c r="JL7" s="12">
        <v>0</v>
      </c>
      <c r="JM7" s="12">
        <v>0</v>
      </c>
      <c r="JN7" s="12">
        <v>0</v>
      </c>
      <c r="JO7" s="12">
        <v>0</v>
      </c>
      <c r="JP7" s="12">
        <v>17356</v>
      </c>
      <c r="JQ7" s="11" t="s">
        <v>733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24960</v>
      </c>
      <c r="KD7" s="12">
        <v>0</v>
      </c>
      <c r="KE7" s="12">
        <v>0</v>
      </c>
      <c r="KF7" s="12">
        <v>9600</v>
      </c>
      <c r="KG7" s="12">
        <v>0</v>
      </c>
      <c r="KH7" s="12">
        <v>0</v>
      </c>
      <c r="KI7" s="12">
        <v>0</v>
      </c>
      <c r="KJ7" s="12">
        <v>0</v>
      </c>
      <c r="KK7" s="12">
        <v>0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0</v>
      </c>
      <c r="KT7" s="12">
        <v>0</v>
      </c>
      <c r="KU7" s="12">
        <v>2522486</v>
      </c>
      <c r="KV7" s="12">
        <v>0</v>
      </c>
      <c r="KW7" s="12">
        <v>0</v>
      </c>
      <c r="KX7" s="12">
        <v>1018187</v>
      </c>
      <c r="KY7" s="12">
        <v>0</v>
      </c>
      <c r="KZ7" s="12">
        <v>0</v>
      </c>
      <c r="LA7" s="12">
        <v>0</v>
      </c>
      <c r="LB7" s="12">
        <v>34560</v>
      </c>
      <c r="LC7" s="12">
        <v>3540673</v>
      </c>
      <c r="LD7" s="12">
        <v>72369</v>
      </c>
      <c r="LE7" s="11" t="s">
        <v>734</v>
      </c>
      <c r="LF7" s="12">
        <v>0</v>
      </c>
      <c r="LG7" s="12">
        <v>0</v>
      </c>
      <c r="LH7" s="12">
        <v>0</v>
      </c>
      <c r="LI7" s="12">
        <v>0</v>
      </c>
      <c r="LJ7" s="12">
        <v>0</v>
      </c>
      <c r="LK7" s="12">
        <v>0</v>
      </c>
      <c r="LL7" s="12">
        <v>0</v>
      </c>
      <c r="LM7" s="12">
        <v>0</v>
      </c>
      <c r="LN7" s="12">
        <v>0</v>
      </c>
      <c r="LO7" s="12">
        <v>0</v>
      </c>
      <c r="LP7" s="12">
        <v>39840</v>
      </c>
      <c r="LQ7" s="12">
        <v>0</v>
      </c>
      <c r="LR7" s="12">
        <v>0</v>
      </c>
      <c r="LS7" s="12">
        <v>32400</v>
      </c>
      <c r="LT7" s="12">
        <v>72240</v>
      </c>
      <c r="LU7" s="12">
        <v>0</v>
      </c>
      <c r="LV7" s="12">
        <v>0</v>
      </c>
      <c r="LW7" s="12">
        <v>0</v>
      </c>
      <c r="LX7" s="12">
        <v>0</v>
      </c>
      <c r="LY7" s="12">
        <v>0</v>
      </c>
      <c r="LZ7" s="12">
        <v>0</v>
      </c>
      <c r="MA7" s="12">
        <v>0</v>
      </c>
      <c r="MB7" s="12">
        <v>0</v>
      </c>
      <c r="MC7" s="12">
        <v>0</v>
      </c>
      <c r="MD7" s="12">
        <v>0</v>
      </c>
      <c r="ME7" s="12">
        <v>0</v>
      </c>
      <c r="MF7" s="12">
        <v>0</v>
      </c>
      <c r="MG7" s="12">
        <v>4026276</v>
      </c>
      <c r="MH7" s="12">
        <v>0</v>
      </c>
      <c r="MI7" s="12">
        <v>0</v>
      </c>
      <c r="MJ7" s="12">
        <v>3436381</v>
      </c>
      <c r="MK7" s="12">
        <v>7300657</v>
      </c>
      <c r="ML7" s="12">
        <v>0</v>
      </c>
      <c r="MM7" s="12">
        <v>0</v>
      </c>
      <c r="MN7" s="12">
        <v>144480</v>
      </c>
      <c r="MO7" s="12">
        <v>14763315</v>
      </c>
      <c r="MP7" s="12">
        <v>76212</v>
      </c>
      <c r="MQ7" s="11" t="s">
        <v>467</v>
      </c>
      <c r="MR7" s="12">
        <v>0</v>
      </c>
      <c r="MS7" s="12">
        <v>0</v>
      </c>
      <c r="MT7" s="12">
        <v>0</v>
      </c>
      <c r="MU7" s="12">
        <v>0</v>
      </c>
      <c r="MV7" s="12">
        <v>0</v>
      </c>
      <c r="MW7" s="12">
        <v>0</v>
      </c>
      <c r="MX7" s="12">
        <v>0</v>
      </c>
      <c r="MY7" s="12">
        <v>0</v>
      </c>
      <c r="MZ7" s="12">
        <v>0</v>
      </c>
      <c r="NA7" s="12">
        <v>153840</v>
      </c>
      <c r="NB7" s="12">
        <v>0</v>
      </c>
      <c r="NC7" s="12">
        <v>0</v>
      </c>
      <c r="ND7" s="12">
        <v>0</v>
      </c>
      <c r="NE7" s="12">
        <v>0</v>
      </c>
      <c r="NF7" s="12">
        <v>0</v>
      </c>
      <c r="NG7" s="12">
        <v>0</v>
      </c>
      <c r="NH7" s="12">
        <v>0</v>
      </c>
      <c r="NI7" s="12">
        <v>0</v>
      </c>
      <c r="NJ7" s="12">
        <v>0</v>
      </c>
      <c r="NK7" s="12">
        <v>0</v>
      </c>
      <c r="NL7" s="12">
        <v>0</v>
      </c>
      <c r="NM7" s="12">
        <v>15547248</v>
      </c>
      <c r="NN7" s="12">
        <v>0</v>
      </c>
      <c r="NO7" s="12">
        <v>0</v>
      </c>
      <c r="NP7" s="12">
        <v>153840</v>
      </c>
      <c r="NQ7" s="12">
        <v>15547248</v>
      </c>
      <c r="NR7" s="12">
        <v>76195</v>
      </c>
      <c r="NS7" s="11" t="s">
        <v>466</v>
      </c>
      <c r="NT7" s="12">
        <v>0</v>
      </c>
      <c r="NU7" s="12">
        <v>0</v>
      </c>
      <c r="NV7" s="12">
        <v>0</v>
      </c>
      <c r="NW7" s="12">
        <v>0</v>
      </c>
      <c r="NX7" s="12">
        <v>16560</v>
      </c>
      <c r="NY7" s="12">
        <v>42960</v>
      </c>
      <c r="NZ7" s="12">
        <v>92160</v>
      </c>
      <c r="OA7" s="12">
        <v>0</v>
      </c>
      <c r="OB7" s="12">
        <v>0</v>
      </c>
      <c r="OC7" s="12">
        <v>0</v>
      </c>
      <c r="OD7" s="12">
        <v>0</v>
      </c>
      <c r="OE7" s="12">
        <v>0</v>
      </c>
      <c r="OF7" s="12">
        <v>0</v>
      </c>
      <c r="OG7" s="12">
        <v>1673572</v>
      </c>
      <c r="OH7" s="12">
        <v>4556387</v>
      </c>
      <c r="OI7" s="12">
        <v>9313795</v>
      </c>
      <c r="OJ7" s="12">
        <v>0</v>
      </c>
      <c r="OK7" s="12">
        <v>0</v>
      </c>
      <c r="OL7" s="12">
        <v>151680</v>
      </c>
      <c r="OM7" s="12">
        <v>15543755</v>
      </c>
    </row>
    <row x14ac:dyDescent="0.25" r="8" customHeight="1" ht="18" customFormat="1" s="8">
      <c r="A8" s="9" t="s">
        <v>735</v>
      </c>
      <c r="B8" s="12">
        <v>0</v>
      </c>
      <c r="C8" s="16" t="s">
        <v>112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1" t="s">
        <v>112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1" t="s">
        <v>112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1" t="s">
        <v>112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1" t="s">
        <v>112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1" t="s">
        <v>112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1" t="s">
        <v>112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1" t="s">
        <v>112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  <c r="KI8" s="12">
        <v>0</v>
      </c>
      <c r="KJ8" s="12">
        <v>0</v>
      </c>
      <c r="KK8" s="12">
        <v>0</v>
      </c>
      <c r="KL8" s="12">
        <v>0</v>
      </c>
      <c r="KM8" s="12">
        <v>0</v>
      </c>
      <c r="KN8" s="12">
        <v>0</v>
      </c>
      <c r="KO8" s="12">
        <v>0</v>
      </c>
      <c r="KP8" s="12">
        <v>0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0</v>
      </c>
      <c r="LA8" s="12">
        <v>0</v>
      </c>
      <c r="LB8" s="12">
        <v>0</v>
      </c>
      <c r="LC8" s="12">
        <v>0</v>
      </c>
      <c r="LD8" s="12">
        <v>0</v>
      </c>
      <c r="LE8" s="11" t="s">
        <v>112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2">
        <v>0</v>
      </c>
      <c r="LL8" s="12">
        <v>0</v>
      </c>
      <c r="LM8" s="12">
        <v>0</v>
      </c>
      <c r="LN8" s="12">
        <v>0</v>
      </c>
      <c r="LO8" s="12">
        <v>0</v>
      </c>
      <c r="LP8" s="12">
        <v>0</v>
      </c>
      <c r="LQ8" s="12">
        <v>0</v>
      </c>
      <c r="LR8" s="12">
        <v>0</v>
      </c>
      <c r="LS8" s="12">
        <v>0</v>
      </c>
      <c r="LT8" s="12">
        <v>0</v>
      </c>
      <c r="LU8" s="12">
        <v>0</v>
      </c>
      <c r="LV8" s="12">
        <v>0</v>
      </c>
      <c r="LW8" s="12">
        <v>0</v>
      </c>
      <c r="LX8" s="12">
        <v>0</v>
      </c>
      <c r="LY8" s="12">
        <v>0</v>
      </c>
      <c r="LZ8" s="12">
        <v>0</v>
      </c>
      <c r="MA8" s="12">
        <v>0</v>
      </c>
      <c r="MB8" s="12">
        <v>0</v>
      </c>
      <c r="MC8" s="12">
        <v>0</v>
      </c>
      <c r="MD8" s="12">
        <v>0</v>
      </c>
      <c r="ME8" s="12">
        <v>0</v>
      </c>
      <c r="MF8" s="12">
        <v>0</v>
      </c>
      <c r="MG8" s="12">
        <v>0</v>
      </c>
      <c r="MH8" s="12">
        <v>0</v>
      </c>
      <c r="MI8" s="12">
        <v>0</v>
      </c>
      <c r="MJ8" s="12">
        <v>0</v>
      </c>
      <c r="MK8" s="12">
        <v>0</v>
      </c>
      <c r="ML8" s="12">
        <v>0</v>
      </c>
      <c r="MM8" s="12">
        <v>0</v>
      </c>
      <c r="MN8" s="12">
        <v>0</v>
      </c>
      <c r="MO8" s="12">
        <v>0</v>
      </c>
      <c r="MP8" s="12">
        <v>0</v>
      </c>
      <c r="MQ8" s="11" t="s">
        <v>112</v>
      </c>
      <c r="MR8" s="12">
        <v>0</v>
      </c>
      <c r="MS8" s="12">
        <v>0</v>
      </c>
      <c r="MT8" s="12">
        <v>0</v>
      </c>
      <c r="MU8" s="12">
        <v>0</v>
      </c>
      <c r="MV8" s="12">
        <v>0</v>
      </c>
      <c r="MW8" s="12">
        <v>0</v>
      </c>
      <c r="MX8" s="12">
        <v>0</v>
      </c>
      <c r="MY8" s="12">
        <v>0</v>
      </c>
      <c r="MZ8" s="12">
        <v>0</v>
      </c>
      <c r="NA8" s="12">
        <v>0</v>
      </c>
      <c r="NB8" s="12">
        <v>0</v>
      </c>
      <c r="NC8" s="12">
        <v>0</v>
      </c>
      <c r="ND8" s="12">
        <v>0</v>
      </c>
      <c r="NE8" s="12">
        <v>0</v>
      </c>
      <c r="NF8" s="12">
        <v>0</v>
      </c>
      <c r="NG8" s="12">
        <v>0</v>
      </c>
      <c r="NH8" s="12">
        <v>0</v>
      </c>
      <c r="NI8" s="12">
        <v>0</v>
      </c>
      <c r="NJ8" s="12">
        <v>0</v>
      </c>
      <c r="NK8" s="12">
        <v>0</v>
      </c>
      <c r="NL8" s="12">
        <v>0</v>
      </c>
      <c r="NM8" s="12">
        <v>0</v>
      </c>
      <c r="NN8" s="12">
        <v>0</v>
      </c>
      <c r="NO8" s="12">
        <v>0</v>
      </c>
      <c r="NP8" s="12">
        <v>0</v>
      </c>
      <c r="NQ8" s="12">
        <v>0</v>
      </c>
      <c r="NR8" s="12">
        <v>0</v>
      </c>
      <c r="NS8" s="11" t="s">
        <v>112</v>
      </c>
      <c r="NT8" s="12">
        <v>0</v>
      </c>
      <c r="NU8" s="12">
        <v>0</v>
      </c>
      <c r="NV8" s="12">
        <v>0</v>
      </c>
      <c r="NW8" s="12">
        <v>0</v>
      </c>
      <c r="NX8" s="12">
        <v>0</v>
      </c>
      <c r="NY8" s="12">
        <v>0</v>
      </c>
      <c r="NZ8" s="12">
        <v>0</v>
      </c>
      <c r="OA8" s="12">
        <v>0</v>
      </c>
      <c r="OB8" s="12">
        <v>0</v>
      </c>
      <c r="OC8" s="12">
        <v>0</v>
      </c>
      <c r="OD8" s="12">
        <v>0</v>
      </c>
      <c r="OE8" s="12">
        <v>0</v>
      </c>
      <c r="OF8" s="12">
        <v>0</v>
      </c>
      <c r="OG8" s="12">
        <v>0</v>
      </c>
      <c r="OH8" s="12">
        <v>0</v>
      </c>
      <c r="OI8" s="12">
        <v>0</v>
      </c>
      <c r="OJ8" s="12">
        <v>0</v>
      </c>
      <c r="OK8" s="12">
        <v>0</v>
      </c>
      <c r="OL8" s="12">
        <v>0</v>
      </c>
      <c r="OM8" s="12">
        <v>0</v>
      </c>
    </row>
    <row x14ac:dyDescent="0.25" r="9" customHeight="1" ht="18" customFormat="1" s="8">
      <c r="A9" s="9" t="s">
        <v>736</v>
      </c>
      <c r="B9" s="12">
        <v>0</v>
      </c>
      <c r="C9" s="16" t="s">
        <v>112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1" t="s">
        <v>112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1" t="s">
        <v>112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1" t="s">
        <v>112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1" t="s">
        <v>112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1" t="s">
        <v>112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1" t="s">
        <v>112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1" t="s">
        <v>112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0</v>
      </c>
      <c r="KR9" s="12">
        <v>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1" t="s">
        <v>112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0</v>
      </c>
      <c r="LR9" s="12">
        <v>0</v>
      </c>
      <c r="LS9" s="12">
        <v>0</v>
      </c>
      <c r="LT9" s="12">
        <v>0</v>
      </c>
      <c r="LU9" s="12">
        <v>0</v>
      </c>
      <c r="LV9" s="12">
        <v>0</v>
      </c>
      <c r="LW9" s="12">
        <v>0</v>
      </c>
      <c r="LX9" s="12">
        <v>0</v>
      </c>
      <c r="LY9" s="12">
        <v>0</v>
      </c>
      <c r="LZ9" s="12">
        <v>0</v>
      </c>
      <c r="MA9" s="12">
        <v>0</v>
      </c>
      <c r="MB9" s="12">
        <v>0</v>
      </c>
      <c r="MC9" s="12">
        <v>0</v>
      </c>
      <c r="MD9" s="12">
        <v>0</v>
      </c>
      <c r="ME9" s="12">
        <v>0</v>
      </c>
      <c r="MF9" s="12">
        <v>0</v>
      </c>
      <c r="MG9" s="12">
        <v>0</v>
      </c>
      <c r="MH9" s="12">
        <v>0</v>
      </c>
      <c r="MI9" s="12">
        <v>0</v>
      </c>
      <c r="MJ9" s="12">
        <v>0</v>
      </c>
      <c r="MK9" s="12">
        <v>0</v>
      </c>
      <c r="ML9" s="12">
        <v>0</v>
      </c>
      <c r="MM9" s="12">
        <v>0</v>
      </c>
      <c r="MN9" s="12">
        <v>0</v>
      </c>
      <c r="MO9" s="12">
        <v>0</v>
      </c>
      <c r="MP9" s="12">
        <v>0</v>
      </c>
      <c r="MQ9" s="11" t="s">
        <v>112</v>
      </c>
      <c r="MR9" s="12">
        <v>0</v>
      </c>
      <c r="MS9" s="12">
        <v>0</v>
      </c>
      <c r="MT9" s="12">
        <v>0</v>
      </c>
      <c r="MU9" s="12">
        <v>0</v>
      </c>
      <c r="MV9" s="12">
        <v>0</v>
      </c>
      <c r="MW9" s="12">
        <v>0</v>
      </c>
      <c r="MX9" s="12">
        <v>0</v>
      </c>
      <c r="MY9" s="12">
        <v>0</v>
      </c>
      <c r="MZ9" s="12">
        <v>0</v>
      </c>
      <c r="NA9" s="12">
        <v>0</v>
      </c>
      <c r="NB9" s="12">
        <v>0</v>
      </c>
      <c r="NC9" s="12">
        <v>0</v>
      </c>
      <c r="ND9" s="12">
        <v>0</v>
      </c>
      <c r="NE9" s="12">
        <v>0</v>
      </c>
      <c r="NF9" s="12">
        <v>0</v>
      </c>
      <c r="NG9" s="12">
        <v>0</v>
      </c>
      <c r="NH9" s="12">
        <v>0</v>
      </c>
      <c r="NI9" s="12">
        <v>0</v>
      </c>
      <c r="NJ9" s="12">
        <v>0</v>
      </c>
      <c r="NK9" s="12">
        <v>0</v>
      </c>
      <c r="NL9" s="12">
        <v>0</v>
      </c>
      <c r="NM9" s="12">
        <v>0</v>
      </c>
      <c r="NN9" s="12">
        <v>0</v>
      </c>
      <c r="NO9" s="12">
        <v>0</v>
      </c>
      <c r="NP9" s="12">
        <v>0</v>
      </c>
      <c r="NQ9" s="12">
        <v>0</v>
      </c>
      <c r="NR9" s="12">
        <v>0</v>
      </c>
      <c r="NS9" s="11" t="s">
        <v>112</v>
      </c>
      <c r="NT9" s="12">
        <v>0</v>
      </c>
      <c r="NU9" s="12">
        <v>0</v>
      </c>
      <c r="NV9" s="12">
        <v>0</v>
      </c>
      <c r="NW9" s="12">
        <v>0</v>
      </c>
      <c r="NX9" s="12">
        <v>0</v>
      </c>
      <c r="NY9" s="12">
        <v>0</v>
      </c>
      <c r="NZ9" s="12">
        <v>0</v>
      </c>
      <c r="OA9" s="12">
        <v>0</v>
      </c>
      <c r="OB9" s="12">
        <v>0</v>
      </c>
      <c r="OC9" s="12">
        <v>0</v>
      </c>
      <c r="OD9" s="12">
        <v>0</v>
      </c>
      <c r="OE9" s="12">
        <v>0</v>
      </c>
      <c r="OF9" s="12">
        <v>0</v>
      </c>
      <c r="OG9" s="12">
        <v>0</v>
      </c>
      <c r="OH9" s="12">
        <v>0</v>
      </c>
      <c r="OI9" s="12">
        <v>0</v>
      </c>
      <c r="OJ9" s="12">
        <v>0</v>
      </c>
      <c r="OK9" s="12">
        <v>0</v>
      </c>
      <c r="OL9" s="12">
        <v>0</v>
      </c>
      <c r="OM9" s="12">
        <v>0</v>
      </c>
    </row>
    <row x14ac:dyDescent="0.25" r="10" customHeight="1" ht="18">
      <c r="A10" s="1"/>
      <c r="B10" s="13"/>
      <c r="C10" s="17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9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9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9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9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9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9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9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9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9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9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</row>
    <row x14ac:dyDescent="0.25" r="11" customHeight="1" ht="18">
      <c r="A11" s="1"/>
      <c r="B11" s="13"/>
      <c r="C11" s="17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9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9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9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9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9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9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9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9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9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9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</row>
    <row x14ac:dyDescent="0.25" r="12" customHeight="1" ht="18">
      <c r="A12" s="1" t="s">
        <v>130</v>
      </c>
      <c r="B12" s="13"/>
      <c r="C12" s="1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9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9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9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9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9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9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9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9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9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9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</row>
    <row x14ac:dyDescent="0.25" r="13" customHeight="1" ht="18" customFormat="1" s="8">
      <c r="A13" s="9" t="s">
        <v>0</v>
      </c>
      <c r="B13" s="10" t="s">
        <v>5</v>
      </c>
      <c r="C13" s="16" t="s">
        <v>11</v>
      </c>
      <c r="D13" s="10" t="s">
        <v>17</v>
      </c>
      <c r="E13" s="10" t="s">
        <v>27</v>
      </c>
      <c r="F13" s="10" t="s">
        <v>37</v>
      </c>
      <c r="G13" s="10" t="s">
        <v>47</v>
      </c>
      <c r="H13" s="10" t="s">
        <v>57</v>
      </c>
      <c r="I13" s="10" t="s">
        <v>67</v>
      </c>
      <c r="J13" s="10" t="s">
        <v>77</v>
      </c>
      <c r="K13" s="10" t="s">
        <v>87</v>
      </c>
      <c r="L13" s="10" t="s">
        <v>97</v>
      </c>
      <c r="M13" s="10" t="s">
        <v>6</v>
      </c>
      <c r="N13" s="10" t="s">
        <v>12</v>
      </c>
      <c r="O13" s="10" t="s">
        <v>18</v>
      </c>
      <c r="P13" s="10" t="s">
        <v>28</v>
      </c>
      <c r="Q13" s="10" t="s">
        <v>38</v>
      </c>
      <c r="R13" s="10" t="s">
        <v>48</v>
      </c>
      <c r="S13" s="10" t="s">
        <v>58</v>
      </c>
      <c r="T13" s="10" t="s">
        <v>68</v>
      </c>
      <c r="U13" s="10" t="s">
        <v>78</v>
      </c>
      <c r="V13" s="10" t="s">
        <v>88</v>
      </c>
      <c r="W13" s="10" t="s">
        <v>98</v>
      </c>
      <c r="X13" s="10" t="s">
        <v>2</v>
      </c>
      <c r="Y13" s="11" t="s">
        <v>8</v>
      </c>
      <c r="Z13" s="10" t="s">
        <v>14</v>
      </c>
      <c r="AA13" s="10" t="s">
        <v>20</v>
      </c>
      <c r="AB13" s="10" t="s">
        <v>30</v>
      </c>
      <c r="AC13" s="10" t="s">
        <v>40</v>
      </c>
      <c r="AD13" s="10" t="s">
        <v>50</v>
      </c>
      <c r="AE13" s="10" t="s">
        <v>60</v>
      </c>
      <c r="AF13" s="10" t="s">
        <v>70</v>
      </c>
      <c r="AG13" s="10" t="s">
        <v>80</v>
      </c>
      <c r="AH13" s="10" t="s">
        <v>90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9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9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9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9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9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9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9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9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9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</row>
    <row x14ac:dyDescent="0.25" r="14" customHeight="1" ht="18" customFormat="1" s="8">
      <c r="A14" s="9" t="s">
        <v>707</v>
      </c>
      <c r="B14" s="12">
        <v>734160</v>
      </c>
      <c r="C14" s="12">
        <v>624000</v>
      </c>
      <c r="D14" s="12">
        <v>435600</v>
      </c>
      <c r="E14" s="12">
        <v>537120</v>
      </c>
      <c r="F14" s="12">
        <v>518880</v>
      </c>
      <c r="G14" s="12">
        <v>517680</v>
      </c>
      <c r="H14" s="12">
        <v>529200</v>
      </c>
      <c r="I14" s="12">
        <v>557760</v>
      </c>
      <c r="J14" s="12">
        <v>566880</v>
      </c>
      <c r="K14" s="12">
        <v>1059360</v>
      </c>
      <c r="L14" s="12">
        <v>491760</v>
      </c>
      <c r="M14" s="12">
        <v>15546216</v>
      </c>
      <c r="N14" s="12">
        <v>15546350</v>
      </c>
      <c r="O14" s="12">
        <v>9420504</v>
      </c>
      <c r="P14" s="12">
        <v>15546446</v>
      </c>
      <c r="Q14" s="12">
        <v>15545736</v>
      </c>
      <c r="R14" s="12">
        <v>15547248</v>
      </c>
      <c r="S14" s="12">
        <v>15545256</v>
      </c>
      <c r="T14" s="12">
        <v>15546528</v>
      </c>
      <c r="U14" s="12">
        <v>15545808</v>
      </c>
      <c r="V14" s="12">
        <v>15542572</v>
      </c>
      <c r="W14" s="12">
        <v>15528024</v>
      </c>
      <c r="X14" s="10" t="s">
        <v>109</v>
      </c>
      <c r="Y14" s="11" t="s">
        <v>109</v>
      </c>
      <c r="Z14" s="10" t="s">
        <v>708</v>
      </c>
      <c r="AA14" s="10" t="s">
        <v>109</v>
      </c>
      <c r="AB14" s="10" t="s">
        <v>109</v>
      </c>
      <c r="AC14" s="10" t="s">
        <v>467</v>
      </c>
      <c r="AD14" s="10" t="s">
        <v>109</v>
      </c>
      <c r="AE14" s="10" t="s">
        <v>467</v>
      </c>
      <c r="AF14" s="10" t="s">
        <v>109</v>
      </c>
      <c r="AG14" s="10" t="s">
        <v>308</v>
      </c>
      <c r="AH14" s="10" t="s">
        <v>709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9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9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9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9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9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9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9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9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9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</row>
    <row x14ac:dyDescent="0.25" r="15" customHeight="1" ht="18" customFormat="1" s="8">
      <c r="A15" s="9" t="s">
        <v>710</v>
      </c>
      <c r="B15" s="12">
        <v>1065840</v>
      </c>
      <c r="C15" s="12">
        <v>1296240</v>
      </c>
      <c r="D15" s="12">
        <v>0</v>
      </c>
      <c r="E15" s="12">
        <v>1126560</v>
      </c>
      <c r="F15" s="12">
        <v>1013760</v>
      </c>
      <c r="G15" s="12">
        <v>978240</v>
      </c>
      <c r="H15" s="12">
        <v>857280</v>
      </c>
      <c r="I15" s="12">
        <v>756720</v>
      </c>
      <c r="J15" s="12">
        <v>741600</v>
      </c>
      <c r="K15" s="12">
        <v>135120</v>
      </c>
      <c r="L15" s="12">
        <v>135120</v>
      </c>
      <c r="M15" s="12">
        <v>14480964</v>
      </c>
      <c r="N15" s="12">
        <v>15546899</v>
      </c>
      <c r="O15" s="12">
        <v>0</v>
      </c>
      <c r="P15" s="12">
        <v>14413250</v>
      </c>
      <c r="Q15" s="12">
        <v>12873933</v>
      </c>
      <c r="R15" s="12">
        <v>15521913</v>
      </c>
      <c r="S15" s="12">
        <v>15530812</v>
      </c>
      <c r="T15" s="12">
        <v>15539493</v>
      </c>
      <c r="U15" s="12">
        <v>15535982</v>
      </c>
      <c r="V15" s="12">
        <v>15538800</v>
      </c>
      <c r="W15" s="12">
        <v>15538800</v>
      </c>
      <c r="X15" s="10" t="s">
        <v>711</v>
      </c>
      <c r="Y15" s="11" t="s">
        <v>467</v>
      </c>
      <c r="Z15" s="10" t="s">
        <v>112</v>
      </c>
      <c r="AA15" s="10" t="s">
        <v>712</v>
      </c>
      <c r="AB15" s="10" t="s">
        <v>713</v>
      </c>
      <c r="AC15" s="10" t="s">
        <v>132</v>
      </c>
      <c r="AD15" s="10" t="s">
        <v>499</v>
      </c>
      <c r="AE15" s="10" t="s">
        <v>485</v>
      </c>
      <c r="AF15" s="10" t="s">
        <v>714</v>
      </c>
      <c r="AG15" s="10" t="s">
        <v>485</v>
      </c>
      <c r="AH15" s="10" t="s">
        <v>485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9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9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9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9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9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9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/>
      <c r="KN15" s="13"/>
      <c r="KO15" s="13"/>
      <c r="KP15" s="13"/>
      <c r="KQ15" s="13"/>
      <c r="KR15" s="13"/>
      <c r="KS15" s="13"/>
      <c r="KT15" s="13"/>
      <c r="KU15" s="13"/>
      <c r="KV15" s="13"/>
      <c r="KW15" s="13"/>
      <c r="KX15" s="13"/>
      <c r="KY15" s="13"/>
      <c r="KZ15" s="13"/>
      <c r="LA15" s="13"/>
      <c r="LB15" s="13"/>
      <c r="LC15" s="13"/>
      <c r="LD15" s="13"/>
      <c r="LE15" s="9"/>
      <c r="LF15" s="13"/>
      <c r="LG15" s="13"/>
      <c r="LH15" s="13"/>
      <c r="LI15" s="13"/>
      <c r="LJ15" s="13"/>
      <c r="LK15" s="13"/>
      <c r="LL15" s="13"/>
      <c r="LM15" s="13"/>
      <c r="LN15" s="13"/>
      <c r="LO15" s="13"/>
      <c r="LP15" s="13"/>
      <c r="LQ15" s="13"/>
      <c r="LR15" s="13"/>
      <c r="LS15" s="13"/>
      <c r="LT15" s="13"/>
      <c r="LU15" s="13"/>
      <c r="LV15" s="13"/>
      <c r="LW15" s="13"/>
      <c r="LX15" s="13"/>
      <c r="LY15" s="13"/>
      <c r="LZ15" s="13"/>
      <c r="MA15" s="13"/>
      <c r="MB15" s="13"/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9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9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</row>
    <row x14ac:dyDescent="0.25" r="16" customHeight="1" ht="18" customFormat="1" s="8">
      <c r="A16" s="9" t="s">
        <v>715</v>
      </c>
      <c r="B16" s="12">
        <v>0</v>
      </c>
      <c r="C16" s="12">
        <v>205200</v>
      </c>
      <c r="D16" s="12">
        <v>0</v>
      </c>
      <c r="E16" s="12">
        <v>0</v>
      </c>
      <c r="F16" s="12">
        <v>0</v>
      </c>
      <c r="G16" s="12">
        <v>34800</v>
      </c>
      <c r="H16" s="12">
        <v>43200</v>
      </c>
      <c r="I16" s="12">
        <v>40080</v>
      </c>
      <c r="J16" s="12">
        <v>105840</v>
      </c>
      <c r="K16" s="12">
        <v>55200</v>
      </c>
      <c r="L16" s="12">
        <v>49200</v>
      </c>
      <c r="M16" s="12">
        <v>0</v>
      </c>
      <c r="N16" s="12">
        <v>3219587</v>
      </c>
      <c r="O16" s="12">
        <v>0</v>
      </c>
      <c r="P16" s="12">
        <v>0</v>
      </c>
      <c r="Q16" s="12">
        <v>0</v>
      </c>
      <c r="R16" s="12">
        <v>4002000</v>
      </c>
      <c r="S16" s="12">
        <v>4968000</v>
      </c>
      <c r="T16" s="12">
        <v>4609200</v>
      </c>
      <c r="U16" s="12">
        <v>12171600</v>
      </c>
      <c r="V16" s="12">
        <v>6348000</v>
      </c>
      <c r="W16" s="12">
        <v>5658000</v>
      </c>
      <c r="X16" s="10" t="s">
        <v>112</v>
      </c>
      <c r="Y16" s="11" t="s">
        <v>716</v>
      </c>
      <c r="Z16" s="10" t="s">
        <v>112</v>
      </c>
      <c r="AA16" s="10" t="s">
        <v>112</v>
      </c>
      <c r="AB16" s="10" t="s">
        <v>112</v>
      </c>
      <c r="AC16" s="10" t="s">
        <v>717</v>
      </c>
      <c r="AD16" s="10" t="s">
        <v>718</v>
      </c>
      <c r="AE16" s="10" t="s">
        <v>719</v>
      </c>
      <c r="AF16" s="10" t="s">
        <v>720</v>
      </c>
      <c r="AG16" s="10" t="s">
        <v>721</v>
      </c>
      <c r="AH16" s="10" t="s">
        <v>722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9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9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9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9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9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9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9"/>
      <c r="LF16" s="13"/>
      <c r="LG16" s="13"/>
      <c r="LH16" s="13"/>
      <c r="LI16" s="13"/>
      <c r="LJ16" s="13"/>
      <c r="LK16" s="13"/>
      <c r="LL16" s="13"/>
      <c r="LM16" s="13"/>
      <c r="LN16" s="13"/>
      <c r="LO16" s="13"/>
      <c r="LP16" s="13"/>
      <c r="LQ16" s="13"/>
      <c r="LR16" s="13"/>
      <c r="LS16" s="13"/>
      <c r="LT16" s="13"/>
      <c r="LU16" s="13"/>
      <c r="LV16" s="13"/>
      <c r="LW16" s="13"/>
      <c r="LX16" s="13"/>
      <c r="LY16" s="13"/>
      <c r="LZ16" s="13"/>
      <c r="MA16" s="13"/>
      <c r="MB16" s="13"/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9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9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</row>
    <row x14ac:dyDescent="0.25" r="17" customHeight="1" ht="18" customFormat="1" s="8">
      <c r="A17" s="9" t="s">
        <v>723</v>
      </c>
      <c r="B17" s="12">
        <v>53520</v>
      </c>
      <c r="C17" s="12">
        <v>34320</v>
      </c>
      <c r="D17" s="12">
        <v>6480</v>
      </c>
      <c r="E17" s="12">
        <v>153840</v>
      </c>
      <c r="F17" s="12">
        <v>153840</v>
      </c>
      <c r="G17" s="12">
        <v>153840</v>
      </c>
      <c r="H17" s="12">
        <v>153840</v>
      </c>
      <c r="I17" s="12">
        <v>153840</v>
      </c>
      <c r="J17" s="12">
        <v>153840</v>
      </c>
      <c r="K17" s="12">
        <v>153840</v>
      </c>
      <c r="L17" s="12">
        <v>153840</v>
      </c>
      <c r="M17" s="12">
        <v>5408792</v>
      </c>
      <c r="N17" s="12">
        <v>3468418</v>
      </c>
      <c r="O17" s="12">
        <v>654876</v>
      </c>
      <c r="P17" s="12">
        <v>15547248</v>
      </c>
      <c r="Q17" s="12">
        <v>15547248</v>
      </c>
      <c r="R17" s="12">
        <v>15547248</v>
      </c>
      <c r="S17" s="12">
        <v>15547248</v>
      </c>
      <c r="T17" s="12">
        <v>15547248</v>
      </c>
      <c r="U17" s="12">
        <v>15547248</v>
      </c>
      <c r="V17" s="12">
        <v>15547248</v>
      </c>
      <c r="W17" s="12">
        <v>15547248</v>
      </c>
      <c r="X17" s="10" t="s">
        <v>724</v>
      </c>
      <c r="Y17" s="11" t="s">
        <v>725</v>
      </c>
      <c r="Z17" s="10" t="s">
        <v>726</v>
      </c>
      <c r="AA17" s="10" t="s">
        <v>467</v>
      </c>
      <c r="AB17" s="10" t="s">
        <v>467</v>
      </c>
      <c r="AC17" s="10" t="s">
        <v>467</v>
      </c>
      <c r="AD17" s="10" t="s">
        <v>467</v>
      </c>
      <c r="AE17" s="10" t="s">
        <v>467</v>
      </c>
      <c r="AF17" s="10" t="s">
        <v>467</v>
      </c>
      <c r="AG17" s="10" t="s">
        <v>467</v>
      </c>
      <c r="AH17" s="10" t="s">
        <v>467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9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9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9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9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9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9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9"/>
      <c r="LF17" s="13"/>
      <c r="LG17" s="13"/>
      <c r="LH17" s="13"/>
      <c r="LI17" s="13"/>
      <c r="LJ17" s="13"/>
      <c r="LK17" s="13"/>
      <c r="LL17" s="13"/>
      <c r="LM17" s="13"/>
      <c r="LN17" s="13"/>
      <c r="LO17" s="13"/>
      <c r="LP17" s="13"/>
      <c r="LQ17" s="13"/>
      <c r="LR17" s="13"/>
      <c r="LS17" s="13"/>
      <c r="LT17" s="13"/>
      <c r="LU17" s="13"/>
      <c r="LV17" s="13"/>
      <c r="LW17" s="13"/>
      <c r="LX17" s="13"/>
      <c r="LY17" s="13"/>
      <c r="LZ17" s="13"/>
      <c r="MA17" s="13"/>
      <c r="MB17" s="13"/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9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9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</row>
    <row x14ac:dyDescent="0.25" r="18" customHeight="1" ht="18" customFormat="1" s="8">
      <c r="A18" s="9" t="s">
        <v>727</v>
      </c>
      <c r="B18" s="12">
        <v>0</v>
      </c>
      <c r="C18" s="12">
        <v>0</v>
      </c>
      <c r="D18" s="12">
        <v>0</v>
      </c>
      <c r="E18" s="12">
        <v>42960</v>
      </c>
      <c r="F18" s="12">
        <v>57120</v>
      </c>
      <c r="G18" s="12">
        <v>87840</v>
      </c>
      <c r="H18" s="12">
        <v>92160</v>
      </c>
      <c r="I18" s="12">
        <v>152880</v>
      </c>
      <c r="J18" s="12">
        <v>153840</v>
      </c>
      <c r="K18" s="12">
        <v>153840</v>
      </c>
      <c r="L18" s="12">
        <v>153840</v>
      </c>
      <c r="M18" s="12">
        <v>0</v>
      </c>
      <c r="N18" s="12">
        <v>0</v>
      </c>
      <c r="O18" s="12">
        <v>0</v>
      </c>
      <c r="P18" s="12">
        <v>4353587</v>
      </c>
      <c r="Q18" s="12">
        <v>5841013</v>
      </c>
      <c r="R18" s="12">
        <v>9042811</v>
      </c>
      <c r="S18" s="12">
        <v>9396595</v>
      </c>
      <c r="T18" s="12">
        <v>15534229</v>
      </c>
      <c r="U18" s="12">
        <v>15547248</v>
      </c>
      <c r="V18" s="12">
        <v>15547248</v>
      </c>
      <c r="W18" s="12">
        <v>15547248</v>
      </c>
      <c r="X18" s="10" t="s">
        <v>112</v>
      </c>
      <c r="Y18" s="11" t="s">
        <v>112</v>
      </c>
      <c r="Z18" s="10" t="s">
        <v>112</v>
      </c>
      <c r="AA18" s="10" t="s">
        <v>728</v>
      </c>
      <c r="AB18" s="10" t="s">
        <v>729</v>
      </c>
      <c r="AC18" s="10" t="s">
        <v>730</v>
      </c>
      <c r="AD18" s="10" t="s">
        <v>731</v>
      </c>
      <c r="AE18" s="10" t="s">
        <v>502</v>
      </c>
      <c r="AF18" s="10" t="s">
        <v>467</v>
      </c>
      <c r="AG18" s="10" t="s">
        <v>467</v>
      </c>
      <c r="AH18" s="10" t="s">
        <v>467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9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9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9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9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9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9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/>
      <c r="KN18" s="13"/>
      <c r="KO18" s="13"/>
      <c r="KP18" s="13"/>
      <c r="KQ18" s="13"/>
      <c r="KR18" s="13"/>
      <c r="KS18" s="13"/>
      <c r="KT18" s="13"/>
      <c r="KU18" s="13"/>
      <c r="KV18" s="13"/>
      <c r="KW18" s="13"/>
      <c r="KX18" s="13"/>
      <c r="KY18" s="13"/>
      <c r="KZ18" s="13"/>
      <c r="LA18" s="13"/>
      <c r="LB18" s="13"/>
      <c r="LC18" s="13"/>
      <c r="LD18" s="13"/>
      <c r="LE18" s="9"/>
      <c r="LF18" s="13"/>
      <c r="LG18" s="13"/>
      <c r="LH18" s="13"/>
      <c r="LI18" s="13"/>
      <c r="LJ18" s="13"/>
      <c r="LK18" s="13"/>
      <c r="LL18" s="13"/>
      <c r="LM18" s="13"/>
      <c r="LN18" s="13"/>
      <c r="LO18" s="13"/>
      <c r="LP18" s="13"/>
      <c r="LQ18" s="13"/>
      <c r="LR18" s="13"/>
      <c r="LS18" s="13"/>
      <c r="LT18" s="13"/>
      <c r="LU18" s="13"/>
      <c r="LV18" s="13"/>
      <c r="LW18" s="13"/>
      <c r="LX18" s="13"/>
      <c r="LY18" s="13"/>
      <c r="LZ18" s="13"/>
      <c r="MA18" s="13"/>
      <c r="MB18" s="13"/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9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9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</row>
    <row x14ac:dyDescent="0.25" r="19" customHeight="1" ht="18" customFormat="1" s="8">
      <c r="A19" s="9" t="s">
        <v>732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34560</v>
      </c>
      <c r="J19" s="12">
        <v>144480</v>
      </c>
      <c r="K19" s="12">
        <v>153840</v>
      </c>
      <c r="L19" s="12">
        <v>151680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3540673</v>
      </c>
      <c r="U19" s="12">
        <v>14763315</v>
      </c>
      <c r="V19" s="12">
        <v>15547248</v>
      </c>
      <c r="W19" s="12">
        <v>15543755</v>
      </c>
      <c r="X19" s="10" t="s">
        <v>112</v>
      </c>
      <c r="Y19" s="11" t="s">
        <v>112</v>
      </c>
      <c r="Z19" s="10" t="s">
        <v>112</v>
      </c>
      <c r="AA19" s="10" t="s">
        <v>112</v>
      </c>
      <c r="AB19" s="10" t="s">
        <v>112</v>
      </c>
      <c r="AC19" s="10" t="s">
        <v>112</v>
      </c>
      <c r="AD19" s="10" t="s">
        <v>112</v>
      </c>
      <c r="AE19" s="10" t="s">
        <v>733</v>
      </c>
      <c r="AF19" s="10" t="s">
        <v>734</v>
      </c>
      <c r="AG19" s="10" t="s">
        <v>467</v>
      </c>
      <c r="AH19" s="10" t="s">
        <v>466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9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9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9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9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9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9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/>
      <c r="KN19" s="13"/>
      <c r="KO19" s="13"/>
      <c r="KP19" s="13"/>
      <c r="KQ19" s="13"/>
      <c r="KR19" s="13"/>
      <c r="KS19" s="13"/>
      <c r="KT19" s="13"/>
      <c r="KU19" s="13"/>
      <c r="KV19" s="13"/>
      <c r="KW19" s="13"/>
      <c r="KX19" s="13"/>
      <c r="KY19" s="13"/>
      <c r="KZ19" s="13"/>
      <c r="LA19" s="13"/>
      <c r="LB19" s="13"/>
      <c r="LC19" s="13"/>
      <c r="LD19" s="13"/>
      <c r="LE19" s="9"/>
      <c r="LF19" s="13"/>
      <c r="LG19" s="13"/>
      <c r="LH19" s="13"/>
      <c r="LI19" s="13"/>
      <c r="LJ19" s="13"/>
      <c r="LK19" s="13"/>
      <c r="LL19" s="13"/>
      <c r="LM19" s="13"/>
      <c r="LN19" s="13"/>
      <c r="LO19" s="13"/>
      <c r="LP19" s="13"/>
      <c r="LQ19" s="13"/>
      <c r="LR19" s="13"/>
      <c r="LS19" s="13"/>
      <c r="LT19" s="13"/>
      <c r="LU19" s="13"/>
      <c r="LV19" s="13"/>
      <c r="LW19" s="13"/>
      <c r="LX19" s="13"/>
      <c r="LY19" s="13"/>
      <c r="LZ19" s="13"/>
      <c r="MA19" s="13"/>
      <c r="MB19" s="13"/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9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9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</row>
    <row x14ac:dyDescent="0.25" r="20" customHeight="1" ht="18" customFormat="1" s="8">
      <c r="A20" s="9" t="s">
        <v>735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0" t="s">
        <v>112</v>
      </c>
      <c r="Y20" s="11" t="s">
        <v>112</v>
      </c>
      <c r="Z20" s="10" t="s">
        <v>112</v>
      </c>
      <c r="AA20" s="10" t="s">
        <v>112</v>
      </c>
      <c r="AB20" s="10" t="s">
        <v>112</v>
      </c>
      <c r="AC20" s="10" t="s">
        <v>112</v>
      </c>
      <c r="AD20" s="10" t="s">
        <v>112</v>
      </c>
      <c r="AE20" s="10" t="s">
        <v>112</v>
      </c>
      <c r="AF20" s="10" t="s">
        <v>112</v>
      </c>
      <c r="AG20" s="10" t="s">
        <v>112</v>
      </c>
      <c r="AH20" s="10" t="s">
        <v>112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9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9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9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9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9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9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9"/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/>
      <c r="LQ20" s="13"/>
      <c r="LR20" s="13"/>
      <c r="LS20" s="13"/>
      <c r="LT20" s="13"/>
      <c r="LU20" s="13"/>
      <c r="LV20" s="13"/>
      <c r="LW20" s="13"/>
      <c r="LX20" s="13"/>
      <c r="LY20" s="13"/>
      <c r="LZ20" s="13"/>
      <c r="MA20" s="13"/>
      <c r="MB20" s="13"/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9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9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</row>
    <row x14ac:dyDescent="0.25" r="21" customHeight="1" ht="18" customFormat="1" s="8">
      <c r="A21" s="9" t="s">
        <v>736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0" t="s">
        <v>112</v>
      </c>
      <c r="Y21" s="11" t="s">
        <v>112</v>
      </c>
      <c r="Z21" s="10" t="s">
        <v>112</v>
      </c>
      <c r="AA21" s="10" t="s">
        <v>112</v>
      </c>
      <c r="AB21" s="10" t="s">
        <v>112</v>
      </c>
      <c r="AC21" s="10" t="s">
        <v>112</v>
      </c>
      <c r="AD21" s="10" t="s">
        <v>112</v>
      </c>
      <c r="AE21" s="10" t="s">
        <v>112</v>
      </c>
      <c r="AF21" s="10" t="s">
        <v>112</v>
      </c>
      <c r="AG21" s="10" t="s">
        <v>112</v>
      </c>
      <c r="AH21" s="10" t="s">
        <v>112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9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9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9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9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9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9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9"/>
      <c r="LF21" s="13"/>
      <c r="LG21" s="13"/>
      <c r="LH21" s="13"/>
      <c r="LI21" s="13"/>
      <c r="LJ21" s="13"/>
      <c r="LK21" s="13"/>
      <c r="LL21" s="13"/>
      <c r="LM21" s="13"/>
      <c r="LN21" s="13"/>
      <c r="LO21" s="13"/>
      <c r="LP21" s="13"/>
      <c r="LQ21" s="13"/>
      <c r="LR21" s="13"/>
      <c r="LS21" s="13"/>
      <c r="LT21" s="13"/>
      <c r="LU21" s="13"/>
      <c r="LV21" s="13"/>
      <c r="LW21" s="13"/>
      <c r="LX21" s="13"/>
      <c r="LY21" s="13"/>
      <c r="LZ21" s="13"/>
      <c r="MA21" s="13"/>
      <c r="MB21" s="13"/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9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9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</row>
    <row x14ac:dyDescent="0.25" r="22" customHeight="1" ht="18">
      <c r="A22" s="1"/>
      <c r="B22" s="13"/>
      <c r="C22" s="17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9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9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9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9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9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9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9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9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9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9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</row>
    <row x14ac:dyDescent="0.25" r="23" customHeight="1" ht="18">
      <c r="A23" s="1" t="s">
        <v>0</v>
      </c>
      <c r="B23" s="13"/>
      <c r="C23" s="1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9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9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9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9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9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9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9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9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9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9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</row>
    <row x14ac:dyDescent="0.25" r="24" customHeight="1" ht="18" customFormat="1" s="8">
      <c r="A24" s="9" t="s">
        <v>707</v>
      </c>
      <c r="B24" s="13"/>
      <c r="C24" s="18">
        <f>IFERROR(N14/C14,0)</f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9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9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9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9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9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9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9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9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9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9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</row>
    <row x14ac:dyDescent="0.25" r="25" customHeight="1" ht="18" customFormat="1" s="8">
      <c r="A25" s="9" t="s">
        <v>710</v>
      </c>
      <c r="B25" s="13"/>
      <c r="C25" s="18">
        <f>IFERROR(N15/C15,0)</f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9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9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9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9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9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9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9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9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9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9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</row>
    <row x14ac:dyDescent="0.25" r="26" customHeight="1" ht="18" customFormat="1" s="8">
      <c r="A26" s="9" t="s">
        <v>715</v>
      </c>
      <c r="B26" s="13"/>
      <c r="C26" s="18">
        <f>IFERROR(N16/C16,0)</f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9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9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9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9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9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9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9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/>
      <c r="KN26" s="13"/>
      <c r="KO26" s="13"/>
      <c r="KP26" s="13"/>
      <c r="KQ26" s="13"/>
      <c r="KR26" s="13"/>
      <c r="KS26" s="13"/>
      <c r="KT26" s="13"/>
      <c r="KU26" s="13"/>
      <c r="KV26" s="13"/>
      <c r="KW26" s="13"/>
      <c r="KX26" s="13"/>
      <c r="KY26" s="13"/>
      <c r="KZ26" s="13"/>
      <c r="LA26" s="13"/>
      <c r="LB26" s="13"/>
      <c r="LC26" s="13"/>
      <c r="LD26" s="13"/>
      <c r="LE26" s="9"/>
      <c r="LF26" s="13"/>
      <c r="LG26" s="13"/>
      <c r="LH26" s="13"/>
      <c r="LI26" s="13"/>
      <c r="LJ26" s="13"/>
      <c r="LK26" s="13"/>
      <c r="LL26" s="13"/>
      <c r="LM26" s="13"/>
      <c r="LN26" s="13"/>
      <c r="LO26" s="13"/>
      <c r="LP26" s="13"/>
      <c r="LQ26" s="13"/>
      <c r="LR26" s="13"/>
      <c r="LS26" s="13"/>
      <c r="LT26" s="13"/>
      <c r="LU26" s="13"/>
      <c r="LV26" s="13"/>
      <c r="LW26" s="13"/>
      <c r="LX26" s="13"/>
      <c r="LY26" s="13"/>
      <c r="LZ26" s="13"/>
      <c r="MA26" s="13"/>
      <c r="MB26" s="13"/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9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9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</row>
    <row x14ac:dyDescent="0.25" r="27" customHeight="1" ht="18" customFormat="1" s="8">
      <c r="A27" s="9" t="s">
        <v>723</v>
      </c>
      <c r="B27" s="13"/>
      <c r="C27" s="18">
        <f>IFERROR(N17/C17,0)</f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9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9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9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9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9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9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9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/>
      <c r="KN27" s="13"/>
      <c r="KO27" s="13"/>
      <c r="KP27" s="13"/>
      <c r="KQ27" s="13"/>
      <c r="KR27" s="13"/>
      <c r="KS27" s="13"/>
      <c r="KT27" s="13"/>
      <c r="KU27" s="13"/>
      <c r="KV27" s="13"/>
      <c r="KW27" s="13"/>
      <c r="KX27" s="13"/>
      <c r="KY27" s="13"/>
      <c r="KZ27" s="13"/>
      <c r="LA27" s="13"/>
      <c r="LB27" s="13"/>
      <c r="LC27" s="13"/>
      <c r="LD27" s="13"/>
      <c r="LE27" s="9"/>
      <c r="LF27" s="13"/>
      <c r="LG27" s="13"/>
      <c r="LH27" s="13"/>
      <c r="LI27" s="13"/>
      <c r="LJ27" s="13"/>
      <c r="LK27" s="13"/>
      <c r="LL27" s="13"/>
      <c r="LM27" s="13"/>
      <c r="LN27" s="13"/>
      <c r="LO27" s="13"/>
      <c r="LP27" s="13"/>
      <c r="LQ27" s="13"/>
      <c r="LR27" s="13"/>
      <c r="LS27" s="13"/>
      <c r="LT27" s="13"/>
      <c r="LU27" s="13"/>
      <c r="LV27" s="13"/>
      <c r="LW27" s="13"/>
      <c r="LX27" s="13"/>
      <c r="LY27" s="13"/>
      <c r="LZ27" s="13"/>
      <c r="MA27" s="13"/>
      <c r="MB27" s="13"/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9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9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</row>
    <row x14ac:dyDescent="0.25" r="28" customHeight="1" ht="18" customFormat="1" s="8">
      <c r="A28" s="9" t="s">
        <v>727</v>
      </c>
      <c r="B28" s="13"/>
      <c r="C28" s="18">
        <f>IFERROR(N18/C18,0)</f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9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9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9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9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9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9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9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9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9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9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</row>
    <row x14ac:dyDescent="0.25" r="29" customHeight="1" ht="18" customFormat="1" s="8">
      <c r="A29" s="9" t="s">
        <v>732</v>
      </c>
      <c r="B29" s="13"/>
      <c r="C29" s="18">
        <f>IFERROR(N19/C19,0)</f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9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9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9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9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9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9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9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9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9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9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</row>
    <row x14ac:dyDescent="0.25" r="30" customHeight="1" ht="18" customFormat="1" s="8">
      <c r="A30" s="9" t="s">
        <v>735</v>
      </c>
      <c r="B30" s="13"/>
      <c r="C30" s="18">
        <f>IFERROR(N20/C20,0)</f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9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9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9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9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9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9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9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9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9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9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</row>
    <row x14ac:dyDescent="0.25" r="31" customHeight="1" ht="18" customFormat="1" s="8">
      <c r="A31" s="9" t="s">
        <v>736</v>
      </c>
      <c r="B31" s="13"/>
      <c r="C31" s="18">
        <f>IFERROR(N21/C21,0)</f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9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9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9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9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9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9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9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9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9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9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M7"/>
  <sheetViews>
    <sheetView workbookViewId="0"/>
  </sheetViews>
  <sheetFormatPr defaultRowHeight="15" x14ac:dyDescent="0.25"/>
  <cols>
    <col min="1" max="1" style="5" width="18.005" customWidth="1" bestFit="1"/>
    <col min="2" max="2" style="6" width="27.005" customWidth="1" bestFit="1"/>
    <col min="3" max="3" style="6" width="27.005" customWidth="1" bestFit="1"/>
    <col min="4" max="4" style="6" width="29.005" customWidth="1" bestFit="1"/>
    <col min="5" max="5" style="6" width="35.005" customWidth="1" bestFit="1"/>
    <col min="6" max="6" style="6" width="31.005" customWidth="1" bestFit="1"/>
    <col min="7" max="7" style="6" width="37.005" customWidth="1" bestFit="1"/>
    <col min="8" max="8" style="6" width="27.005" customWidth="1" bestFit="1"/>
    <col min="9" max="9" style="6" width="29.005" customWidth="1" bestFit="1"/>
    <col min="10" max="10" style="6" width="29.005" customWidth="1" bestFit="1"/>
    <col min="11" max="11" style="6" width="29.005" customWidth="1" bestFit="1"/>
    <col min="12" max="12" style="6" width="29.005" customWidth="1" bestFit="1"/>
    <col min="13" max="13" style="6" width="35.005" customWidth="1" bestFit="1"/>
    <col min="14" max="14" style="6" width="31.005" customWidth="1" bestFit="1"/>
    <col min="15" max="15" style="6" width="37.005" customWidth="1" bestFit="1"/>
    <col min="16" max="16" style="6" width="29.005" customWidth="1" bestFit="1"/>
    <col min="17" max="17" style="6" width="29.005" customWidth="1" bestFit="1"/>
    <col min="18" max="18" style="7" width="23.005" customWidth="1" bestFit="1"/>
    <col min="19" max="19" style="5" width="22.005" customWidth="1" bestFit="1"/>
    <col min="20" max="20" style="7" width="29.005" customWidth="1" bestFit="1"/>
    <col min="21" max="21" style="7" width="35.005" customWidth="1" bestFit="1"/>
    <col min="22" max="22" style="7" width="38.005" customWidth="1" bestFit="1"/>
    <col min="23" max="23" style="7" width="31.005" customWidth="1" bestFit="1"/>
    <col min="24" max="24" style="7" width="37.005" customWidth="1" bestFit="1"/>
    <col min="25" max="25" style="7" width="40.005" customWidth="1" bestFit="1"/>
    <col min="26" max="26" style="7" width="27.005" customWidth="1" bestFit="1"/>
    <col min="27" max="27" style="7" width="29.005" customWidth="1" bestFit="1"/>
    <col min="28" max="28" style="7" width="23.005" customWidth="1" bestFit="1"/>
    <col min="29" max="29" style="5" width="22.005" customWidth="1" bestFit="1"/>
    <col min="30" max="30" style="7" width="38.005" customWidth="1" bestFit="1"/>
    <col min="31" max="31" style="7" width="40.005" customWidth="1" bestFit="1"/>
    <col min="32" max="32" style="7" width="27.005" customWidth="1" bestFit="1"/>
    <col min="33" max="33" style="7" width="29.005" customWidth="1" bestFit="1"/>
    <col min="34" max="34" style="7" width="23.005" customWidth="1" bestFit="1"/>
    <col min="35" max="35" style="5" width="22.005" customWidth="1" bestFit="1"/>
    <col min="36" max="36" style="7" width="38.005" customWidth="1" bestFit="1"/>
    <col min="37" max="37" style="7" width="38.005" customWidth="1" bestFit="1"/>
    <col min="38" max="38" style="7" width="40.005" customWidth="1" bestFit="1"/>
    <col min="39" max="39" style="7" width="40.005" customWidth="1" bestFit="1"/>
    <col min="40" max="40" style="7" width="27.005" customWidth="1" bestFit="1"/>
    <col min="41" max="41" style="7" width="29.005" customWidth="1" bestFit="1"/>
    <col min="42" max="42" style="7" width="23.005" customWidth="1" bestFit="1"/>
    <col min="43" max="43" style="5" width="22.005" customWidth="1" bestFit="1"/>
    <col min="44" max="44" style="7" width="38.005" customWidth="1" bestFit="1"/>
    <col min="45" max="45" style="7" width="38.005" customWidth="1" bestFit="1"/>
    <col min="46" max="46" style="7" width="40.005" customWidth="1" bestFit="1"/>
    <col min="47" max="47" style="7" width="40.005" customWidth="1" bestFit="1"/>
    <col min="48" max="48" style="7" width="27.005" customWidth="1" bestFit="1"/>
    <col min="49" max="49" style="7" width="29.005" customWidth="1" bestFit="1"/>
    <col min="50" max="50" style="7" width="23.005" customWidth="1" bestFit="1"/>
    <col min="51" max="51" style="5" width="22.005" customWidth="1" bestFit="1"/>
    <col min="52" max="52" style="7" width="38.005" customWidth="1" bestFit="1"/>
    <col min="53" max="53" style="7" width="38.005" customWidth="1" bestFit="1"/>
    <col min="54" max="54" style="7" width="40.005" customWidth="1" bestFit="1"/>
    <col min="55" max="55" style="7" width="40.005" customWidth="1" bestFit="1"/>
    <col min="56" max="56" style="7" width="27.005" customWidth="1" bestFit="1"/>
    <col min="57" max="57" style="7" width="29.005" customWidth="1" bestFit="1"/>
    <col min="58" max="58" style="7" width="23.005" customWidth="1" bestFit="1"/>
    <col min="59" max="59" style="5" width="22.005" customWidth="1" bestFit="1"/>
    <col min="60" max="60" style="7" width="38.005" customWidth="1" bestFit="1"/>
    <col min="61" max="61" style="7" width="38.005" customWidth="1" bestFit="1"/>
    <col min="62" max="62" style="7" width="40.005" customWidth="1" bestFit="1"/>
    <col min="63" max="63" style="7" width="40.005" customWidth="1" bestFit="1"/>
    <col min="64" max="64" style="7" width="27.005" customWidth="1" bestFit="1"/>
    <col min="65" max="65" style="7" width="29.005" customWidth="1" bestFit="1"/>
  </cols>
  <sheetData>
    <row x14ac:dyDescent="0.25" r="1" customHeight="1" ht="18">
      <c r="A1" s="1" t="s">
        <v>0</v>
      </c>
      <c r="B1" s="2" t="s">
        <v>19</v>
      </c>
      <c r="C1" s="2" t="s">
        <v>20</v>
      </c>
      <c r="D1" s="2" t="s">
        <v>355</v>
      </c>
      <c r="E1" s="2" t="s">
        <v>358</v>
      </c>
      <c r="F1" s="2" t="s">
        <v>359</v>
      </c>
      <c r="G1" s="2" t="s">
        <v>362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363</v>
      </c>
      <c r="M1" s="2" t="s">
        <v>367</v>
      </c>
      <c r="N1" s="2" t="s">
        <v>369</v>
      </c>
      <c r="O1" s="2" t="s">
        <v>373</v>
      </c>
      <c r="P1" s="2" t="s">
        <v>37</v>
      </c>
      <c r="Q1" s="2" t="s">
        <v>38</v>
      </c>
      <c r="R1" s="3" t="s">
        <v>39</v>
      </c>
      <c r="S1" s="1" t="s">
        <v>40</v>
      </c>
      <c r="T1" s="3" t="s">
        <v>376</v>
      </c>
      <c r="U1" s="3" t="s">
        <v>381</v>
      </c>
      <c r="V1" s="3" t="s">
        <v>383</v>
      </c>
      <c r="W1" s="3" t="s">
        <v>385</v>
      </c>
      <c r="X1" s="3" t="s">
        <v>390</v>
      </c>
      <c r="Y1" s="3" t="s">
        <v>392</v>
      </c>
      <c r="Z1" s="3" t="s">
        <v>47</v>
      </c>
      <c r="AA1" s="3" t="s">
        <v>48</v>
      </c>
      <c r="AB1" s="3" t="s">
        <v>49</v>
      </c>
      <c r="AC1" s="1" t="s">
        <v>50</v>
      </c>
      <c r="AD1" s="3" t="s">
        <v>398</v>
      </c>
      <c r="AE1" s="3" t="s">
        <v>404</v>
      </c>
      <c r="AF1" s="3" t="s">
        <v>57</v>
      </c>
      <c r="AG1" s="3" t="s">
        <v>58</v>
      </c>
      <c r="AH1" s="3" t="s">
        <v>59</v>
      </c>
      <c r="AI1" s="1" t="s">
        <v>60</v>
      </c>
      <c r="AJ1" s="3" t="s">
        <v>410</v>
      </c>
      <c r="AK1" s="3" t="s">
        <v>411</v>
      </c>
      <c r="AL1" s="3" t="s">
        <v>417</v>
      </c>
      <c r="AM1" s="3" t="s">
        <v>418</v>
      </c>
      <c r="AN1" s="3" t="s">
        <v>67</v>
      </c>
      <c r="AO1" s="3" t="s">
        <v>68</v>
      </c>
      <c r="AP1" s="3" t="s">
        <v>69</v>
      </c>
      <c r="AQ1" s="1" t="s">
        <v>70</v>
      </c>
      <c r="AR1" s="3" t="s">
        <v>424</v>
      </c>
      <c r="AS1" s="3" t="s">
        <v>425</v>
      </c>
      <c r="AT1" s="3" t="s">
        <v>431</v>
      </c>
      <c r="AU1" s="3" t="s">
        <v>432</v>
      </c>
      <c r="AV1" s="3" t="s">
        <v>77</v>
      </c>
      <c r="AW1" s="3" t="s">
        <v>78</v>
      </c>
      <c r="AX1" s="3" t="s">
        <v>79</v>
      </c>
      <c r="AY1" s="1" t="s">
        <v>80</v>
      </c>
      <c r="AZ1" s="3" t="s">
        <v>438</v>
      </c>
      <c r="BA1" s="3" t="s">
        <v>439</v>
      </c>
      <c r="BB1" s="3" t="s">
        <v>445</v>
      </c>
      <c r="BC1" s="3" t="s">
        <v>446</v>
      </c>
      <c r="BD1" s="3" t="s">
        <v>87</v>
      </c>
      <c r="BE1" s="3" t="s">
        <v>88</v>
      </c>
      <c r="BF1" s="3" t="s">
        <v>89</v>
      </c>
      <c r="BG1" s="1" t="s">
        <v>90</v>
      </c>
      <c r="BH1" s="3" t="s">
        <v>452</v>
      </c>
      <c r="BI1" s="3" t="s">
        <v>453</v>
      </c>
      <c r="BJ1" s="3" t="s">
        <v>459</v>
      </c>
      <c r="BK1" s="3" t="s">
        <v>460</v>
      </c>
      <c r="BL1" s="3" t="s">
        <v>97</v>
      </c>
      <c r="BM1" s="3" t="s">
        <v>98</v>
      </c>
    </row>
    <row x14ac:dyDescent="0.25" r="2" customHeight="1" ht="18">
      <c r="A2" s="1" t="s">
        <v>507</v>
      </c>
      <c r="B2" s="4">
        <v>400</v>
      </c>
      <c r="C2" s="2" t="s">
        <v>508</v>
      </c>
      <c r="D2" s="4">
        <v>240</v>
      </c>
      <c r="E2" s="4">
        <v>240</v>
      </c>
      <c r="F2" s="4">
        <v>20947</v>
      </c>
      <c r="G2" s="4">
        <v>60590</v>
      </c>
      <c r="H2" s="4">
        <v>480</v>
      </c>
      <c r="I2" s="4">
        <v>81537</v>
      </c>
      <c r="J2" s="4">
        <v>400</v>
      </c>
      <c r="K2" s="2" t="s">
        <v>508</v>
      </c>
      <c r="L2" s="4">
        <v>240</v>
      </c>
      <c r="M2" s="4">
        <v>240</v>
      </c>
      <c r="N2" s="4">
        <v>20947</v>
      </c>
      <c r="O2" s="4">
        <v>60590</v>
      </c>
      <c r="P2" s="4">
        <v>480</v>
      </c>
      <c r="Q2" s="4">
        <v>81537</v>
      </c>
      <c r="R2" s="4">
        <v>16341</v>
      </c>
      <c r="S2" s="1" t="s">
        <v>509</v>
      </c>
      <c r="T2" s="4">
        <v>240</v>
      </c>
      <c r="U2" s="4">
        <v>240</v>
      </c>
      <c r="V2" s="4">
        <v>65040</v>
      </c>
      <c r="W2" s="4">
        <v>20947</v>
      </c>
      <c r="X2" s="4">
        <v>60590</v>
      </c>
      <c r="Y2" s="4">
        <v>3252000</v>
      </c>
      <c r="Z2" s="4">
        <v>65520</v>
      </c>
      <c r="AA2" s="4">
        <v>3333537</v>
      </c>
      <c r="AB2" s="4">
        <v>22706</v>
      </c>
      <c r="AC2" s="1" t="s">
        <v>510</v>
      </c>
      <c r="AD2" s="4">
        <v>92640</v>
      </c>
      <c r="AE2" s="4">
        <v>4632000</v>
      </c>
      <c r="AF2" s="4">
        <v>92640</v>
      </c>
      <c r="AG2" s="4">
        <v>4632000</v>
      </c>
      <c r="AH2" s="4">
        <v>25588</v>
      </c>
      <c r="AI2" s="1" t="s">
        <v>511</v>
      </c>
      <c r="AJ2" s="4">
        <v>99600</v>
      </c>
      <c r="AK2" s="4">
        <v>4800</v>
      </c>
      <c r="AL2" s="4">
        <v>4980000</v>
      </c>
      <c r="AM2" s="4">
        <v>240000</v>
      </c>
      <c r="AN2" s="4">
        <v>104400</v>
      </c>
      <c r="AO2" s="4">
        <v>5220000</v>
      </c>
      <c r="AP2" s="4">
        <v>42471</v>
      </c>
      <c r="AQ2" s="1" t="s">
        <v>512</v>
      </c>
      <c r="AR2" s="4">
        <v>153360</v>
      </c>
      <c r="AS2" s="4">
        <v>19920</v>
      </c>
      <c r="AT2" s="4">
        <v>7668000</v>
      </c>
      <c r="AU2" s="4">
        <v>996000</v>
      </c>
      <c r="AV2" s="4">
        <v>173280</v>
      </c>
      <c r="AW2" s="4">
        <v>8664000</v>
      </c>
      <c r="AX2" s="4">
        <v>50353</v>
      </c>
      <c r="AY2" s="1" t="s">
        <v>513</v>
      </c>
      <c r="AZ2" s="4">
        <v>165600</v>
      </c>
      <c r="BA2" s="4">
        <v>39840</v>
      </c>
      <c r="BB2" s="4">
        <v>8280000</v>
      </c>
      <c r="BC2" s="4">
        <v>1992000</v>
      </c>
      <c r="BD2" s="4">
        <v>205440</v>
      </c>
      <c r="BE2" s="4">
        <v>10272000</v>
      </c>
      <c r="BF2" s="4">
        <v>62765</v>
      </c>
      <c r="BG2" s="1" t="s">
        <v>514</v>
      </c>
      <c r="BH2" s="4">
        <v>181200</v>
      </c>
      <c r="BI2" s="4">
        <v>74880</v>
      </c>
      <c r="BJ2" s="4">
        <v>9060000</v>
      </c>
      <c r="BK2" s="4">
        <v>3744000</v>
      </c>
      <c r="BL2" s="4">
        <v>256080</v>
      </c>
      <c r="BM2" s="4">
        <v>12804000</v>
      </c>
    </row>
    <row x14ac:dyDescent="0.25" r="3" customHeight="1" ht="18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1"/>
      <c r="T3" s="3"/>
      <c r="U3" s="3"/>
      <c r="V3" s="3"/>
      <c r="W3" s="3"/>
      <c r="X3" s="3"/>
      <c r="Y3" s="3"/>
      <c r="Z3" s="3"/>
      <c r="AA3" s="3"/>
      <c r="AB3" s="3"/>
      <c r="AC3" s="1"/>
      <c r="AD3" s="3"/>
      <c r="AE3" s="3"/>
      <c r="AF3" s="3"/>
      <c r="AG3" s="3"/>
      <c r="AH3" s="3"/>
      <c r="AI3" s="1"/>
      <c r="AJ3" s="3"/>
      <c r="AK3" s="3"/>
      <c r="AL3" s="3"/>
      <c r="AM3" s="3"/>
      <c r="AN3" s="3"/>
      <c r="AO3" s="3"/>
      <c r="AP3" s="3"/>
      <c r="AQ3" s="1"/>
      <c r="AR3" s="3"/>
      <c r="AS3" s="3"/>
      <c r="AT3" s="3"/>
      <c r="AU3" s="3"/>
      <c r="AV3" s="3"/>
      <c r="AW3" s="3"/>
      <c r="AX3" s="3"/>
      <c r="AY3" s="1"/>
      <c r="AZ3" s="3"/>
      <c r="BA3" s="3"/>
      <c r="BB3" s="3"/>
      <c r="BC3" s="3"/>
      <c r="BD3" s="3"/>
      <c r="BE3" s="3"/>
      <c r="BF3" s="3"/>
      <c r="BG3" s="1"/>
      <c r="BH3" s="3"/>
      <c r="BI3" s="3"/>
      <c r="BJ3" s="3"/>
      <c r="BK3" s="3"/>
      <c r="BL3" s="3"/>
      <c r="BM3" s="3"/>
    </row>
    <row x14ac:dyDescent="0.25" r="4" customHeight="1" ht="18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1"/>
      <c r="T4" s="3"/>
      <c r="U4" s="3"/>
      <c r="V4" s="3"/>
      <c r="W4" s="3"/>
      <c r="X4" s="3"/>
      <c r="Y4" s="3"/>
      <c r="Z4" s="3"/>
      <c r="AA4" s="3"/>
      <c r="AB4" s="3"/>
      <c r="AC4" s="1"/>
      <c r="AD4" s="3"/>
      <c r="AE4" s="3"/>
      <c r="AF4" s="3"/>
      <c r="AG4" s="3"/>
      <c r="AH4" s="3"/>
      <c r="AI4" s="1"/>
      <c r="AJ4" s="3"/>
      <c r="AK4" s="3"/>
      <c r="AL4" s="3"/>
      <c r="AM4" s="3"/>
      <c r="AN4" s="3"/>
      <c r="AO4" s="3"/>
      <c r="AP4" s="3"/>
      <c r="AQ4" s="1"/>
      <c r="AR4" s="3"/>
      <c r="AS4" s="3"/>
      <c r="AT4" s="3"/>
      <c r="AU4" s="3"/>
      <c r="AV4" s="3"/>
      <c r="AW4" s="3"/>
      <c r="AX4" s="3"/>
      <c r="AY4" s="1"/>
      <c r="AZ4" s="3"/>
      <c r="BA4" s="3"/>
      <c r="BB4" s="3"/>
      <c r="BC4" s="3"/>
      <c r="BD4" s="3"/>
      <c r="BE4" s="3"/>
      <c r="BF4" s="3"/>
      <c r="BG4" s="1"/>
      <c r="BH4" s="3"/>
      <c r="BI4" s="3"/>
      <c r="BJ4" s="3"/>
      <c r="BK4" s="3"/>
      <c r="BL4" s="3"/>
      <c r="BM4" s="3"/>
    </row>
    <row x14ac:dyDescent="0.25" r="5" customHeight="1" ht="18">
      <c r="A5" s="1" t="s">
        <v>130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"/>
      <c r="S5" s="1"/>
      <c r="T5" s="3"/>
      <c r="U5" s="3"/>
      <c r="V5" s="3"/>
      <c r="W5" s="3"/>
      <c r="X5" s="3"/>
      <c r="Y5" s="3"/>
      <c r="Z5" s="3"/>
      <c r="AA5" s="3"/>
      <c r="AB5" s="3"/>
      <c r="AC5" s="1"/>
      <c r="AD5" s="3"/>
      <c r="AE5" s="3"/>
      <c r="AF5" s="3"/>
      <c r="AG5" s="3"/>
      <c r="AH5" s="3"/>
      <c r="AI5" s="1"/>
      <c r="AJ5" s="3"/>
      <c r="AK5" s="3"/>
      <c r="AL5" s="3"/>
      <c r="AM5" s="3"/>
      <c r="AN5" s="3"/>
      <c r="AO5" s="3"/>
      <c r="AP5" s="3"/>
      <c r="AQ5" s="1"/>
      <c r="AR5" s="3"/>
      <c r="AS5" s="3"/>
      <c r="AT5" s="3"/>
      <c r="AU5" s="3"/>
      <c r="AV5" s="3"/>
      <c r="AW5" s="3"/>
      <c r="AX5" s="3"/>
      <c r="AY5" s="1"/>
      <c r="AZ5" s="3"/>
      <c r="BA5" s="3"/>
      <c r="BB5" s="3"/>
      <c r="BC5" s="3"/>
      <c r="BD5" s="3"/>
      <c r="BE5" s="3"/>
      <c r="BF5" s="3"/>
      <c r="BG5" s="1"/>
      <c r="BH5" s="3"/>
      <c r="BI5" s="3"/>
      <c r="BJ5" s="3"/>
      <c r="BK5" s="3"/>
      <c r="BL5" s="3"/>
      <c r="BM5" s="3"/>
    </row>
    <row x14ac:dyDescent="0.25" r="6" customHeight="1" ht="18">
      <c r="A6" s="1" t="s">
        <v>0</v>
      </c>
      <c r="B6" s="2" t="s">
        <v>27</v>
      </c>
      <c r="C6" s="2" t="s">
        <v>37</v>
      </c>
      <c r="D6" s="2" t="s">
        <v>47</v>
      </c>
      <c r="E6" s="2" t="s">
        <v>57</v>
      </c>
      <c r="F6" s="2" t="s">
        <v>67</v>
      </c>
      <c r="G6" s="2" t="s">
        <v>77</v>
      </c>
      <c r="H6" s="2" t="s">
        <v>87</v>
      </c>
      <c r="I6" s="2" t="s">
        <v>97</v>
      </c>
      <c r="J6" s="2" t="s">
        <v>28</v>
      </c>
      <c r="K6" s="2" t="s">
        <v>38</v>
      </c>
      <c r="L6" s="2" t="s">
        <v>48</v>
      </c>
      <c r="M6" s="2" t="s">
        <v>58</v>
      </c>
      <c r="N6" s="2" t="s">
        <v>68</v>
      </c>
      <c r="O6" s="2" t="s">
        <v>78</v>
      </c>
      <c r="P6" s="2" t="s">
        <v>88</v>
      </c>
      <c r="Q6" s="2" t="s">
        <v>98</v>
      </c>
      <c r="R6" s="3" t="s">
        <v>20</v>
      </c>
      <c r="S6" s="1" t="s">
        <v>30</v>
      </c>
      <c r="T6" s="3" t="s">
        <v>40</v>
      </c>
      <c r="U6" s="3" t="s">
        <v>50</v>
      </c>
      <c r="V6" s="3" t="s">
        <v>60</v>
      </c>
      <c r="W6" s="3" t="s">
        <v>70</v>
      </c>
      <c r="X6" s="3" t="s">
        <v>80</v>
      </c>
      <c r="Y6" s="3" t="s">
        <v>90</v>
      </c>
      <c r="Z6" s="3"/>
      <c r="AA6" s="3"/>
      <c r="AB6" s="3"/>
      <c r="AC6" s="1"/>
      <c r="AD6" s="3"/>
      <c r="AE6" s="3"/>
      <c r="AF6" s="3"/>
      <c r="AG6" s="3"/>
      <c r="AH6" s="3"/>
      <c r="AI6" s="1"/>
      <c r="AJ6" s="3"/>
      <c r="AK6" s="3"/>
      <c r="AL6" s="3"/>
      <c r="AM6" s="3"/>
      <c r="AN6" s="3"/>
      <c r="AO6" s="3"/>
      <c r="AP6" s="3"/>
      <c r="AQ6" s="1"/>
      <c r="AR6" s="3"/>
      <c r="AS6" s="3"/>
      <c r="AT6" s="3"/>
      <c r="AU6" s="3"/>
      <c r="AV6" s="3"/>
      <c r="AW6" s="3"/>
      <c r="AX6" s="3"/>
      <c r="AY6" s="1"/>
      <c r="AZ6" s="3"/>
      <c r="BA6" s="3"/>
      <c r="BB6" s="3"/>
      <c r="BC6" s="3"/>
      <c r="BD6" s="3"/>
      <c r="BE6" s="3"/>
      <c r="BF6" s="3"/>
      <c r="BG6" s="1"/>
      <c r="BH6" s="3"/>
      <c r="BI6" s="3"/>
      <c r="BJ6" s="3"/>
      <c r="BK6" s="3"/>
      <c r="BL6" s="3"/>
      <c r="BM6" s="3"/>
    </row>
    <row x14ac:dyDescent="0.25" r="7" customHeight="1" ht="18">
      <c r="A7" s="1" t="s">
        <v>507</v>
      </c>
      <c r="B7" s="4">
        <v>480</v>
      </c>
      <c r="C7" s="4">
        <v>480</v>
      </c>
      <c r="D7" s="4">
        <v>65520</v>
      </c>
      <c r="E7" s="4">
        <v>92640</v>
      </c>
      <c r="F7" s="4">
        <v>104400</v>
      </c>
      <c r="G7" s="4">
        <v>173280</v>
      </c>
      <c r="H7" s="4">
        <v>205440</v>
      </c>
      <c r="I7" s="4">
        <v>256080</v>
      </c>
      <c r="J7" s="4">
        <v>81537</v>
      </c>
      <c r="K7" s="4">
        <v>81537</v>
      </c>
      <c r="L7" s="4">
        <v>3333537</v>
      </c>
      <c r="M7" s="4">
        <v>4632000</v>
      </c>
      <c r="N7" s="4">
        <v>5220000</v>
      </c>
      <c r="O7" s="4">
        <v>8664000</v>
      </c>
      <c r="P7" s="4">
        <v>10272000</v>
      </c>
      <c r="Q7" s="4">
        <v>12804000</v>
      </c>
      <c r="R7" s="3" t="s">
        <v>508</v>
      </c>
      <c r="S7" s="1" t="s">
        <v>508</v>
      </c>
      <c r="T7" s="3" t="s">
        <v>509</v>
      </c>
      <c r="U7" s="3" t="s">
        <v>510</v>
      </c>
      <c r="V7" s="3" t="s">
        <v>511</v>
      </c>
      <c r="W7" s="3" t="s">
        <v>512</v>
      </c>
      <c r="X7" s="3" t="s">
        <v>513</v>
      </c>
      <c r="Y7" s="3" t="s">
        <v>514</v>
      </c>
      <c r="Z7" s="3"/>
      <c r="AA7" s="3"/>
      <c r="AB7" s="3"/>
      <c r="AC7" s="1"/>
      <c r="AD7" s="3"/>
      <c r="AE7" s="3"/>
      <c r="AF7" s="3"/>
      <c r="AG7" s="3"/>
      <c r="AH7" s="3"/>
      <c r="AI7" s="1"/>
      <c r="AJ7" s="3"/>
      <c r="AK7" s="3"/>
      <c r="AL7" s="3"/>
      <c r="AM7" s="3"/>
      <c r="AN7" s="3"/>
      <c r="AO7" s="3"/>
      <c r="AP7" s="3"/>
      <c r="AQ7" s="1"/>
      <c r="AR7" s="3"/>
      <c r="AS7" s="3"/>
      <c r="AT7" s="3"/>
      <c r="AU7" s="3"/>
      <c r="AV7" s="3"/>
      <c r="AW7" s="3"/>
      <c r="AX7" s="3"/>
      <c r="AY7" s="1"/>
      <c r="AZ7" s="3"/>
      <c r="BA7" s="3"/>
      <c r="BB7" s="3"/>
      <c r="BC7" s="3"/>
      <c r="BD7" s="3"/>
      <c r="BE7" s="3"/>
      <c r="BF7" s="3"/>
      <c r="BG7" s="1"/>
      <c r="BH7" s="3"/>
      <c r="BI7" s="3"/>
      <c r="BJ7" s="3"/>
      <c r="BK7" s="3"/>
      <c r="BL7" s="3"/>
      <c r="BM7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O22"/>
  <sheetViews>
    <sheetView workbookViewId="0"/>
  </sheetViews>
  <sheetFormatPr defaultRowHeight="15" x14ac:dyDescent="0.25"/>
  <cols>
    <col min="1" max="1" style="5" width="18.005" customWidth="1" bestFit="1"/>
    <col min="2" max="2" style="14" width="10.862142857142858" customWidth="1" bestFit="1"/>
    <col min="3" max="3" style="21" width="10.862142857142858" customWidth="1" bestFit="1"/>
    <col min="4" max="4" style="14" width="10.862142857142858" customWidth="1" bestFit="1"/>
    <col min="5" max="5" style="14" width="10.862142857142858" customWidth="1" bestFit="1"/>
    <col min="6" max="6" style="14" width="10.862142857142858" customWidth="1" bestFit="1"/>
    <col min="7" max="7" style="14" width="10.862142857142858" customWidth="1" bestFit="1"/>
    <col min="8" max="8" style="14" width="10.862142857142858" customWidth="1" bestFit="1"/>
    <col min="9" max="9" style="14" width="10.862142857142858" customWidth="1" bestFit="1"/>
    <col min="10" max="10" style="14" width="10.862142857142858" customWidth="1" bestFit="1"/>
    <col min="11" max="11" style="14" width="10.862142857142858" customWidth="1" bestFit="1"/>
    <col min="12" max="12" style="14" width="10.862142857142858" customWidth="1" bestFit="1"/>
    <col min="13" max="13" style="14" width="10.862142857142858" customWidth="1" bestFit="1"/>
    <col min="14" max="14" style="14" width="10.862142857142858" customWidth="1" bestFit="1"/>
    <col min="15" max="15" style="14" width="10.862142857142858" customWidth="1" bestFit="1"/>
    <col min="16" max="16" style="14" width="10.862142857142858" customWidth="1" bestFit="1"/>
    <col min="17" max="17" style="14" width="10.862142857142858" customWidth="1" bestFit="1"/>
    <col min="18" max="18" style="14" width="10.862142857142858" customWidth="1" bestFit="1"/>
    <col min="19" max="19" style="14" width="10.862142857142858" customWidth="1" bestFit="1"/>
    <col min="20" max="20" style="14" width="10.862142857142858" customWidth="1" bestFit="1"/>
    <col min="21" max="21" style="14" width="10.862142857142858" customWidth="1" bestFit="1"/>
    <col min="22" max="22" style="14" width="10.862142857142858" customWidth="1" bestFit="1"/>
    <col min="23" max="23" style="14" width="10.862142857142858" customWidth="1" bestFit="1"/>
    <col min="24" max="24" style="14" width="10.862142857142858" customWidth="1" bestFit="1"/>
    <col min="25" max="25" style="14" width="10.862142857142858" customWidth="1" bestFit="1"/>
    <col min="26" max="26" style="14" width="10.862142857142858" customWidth="1" bestFit="1"/>
    <col min="27" max="27" style="14" width="10.862142857142858" customWidth="1" bestFit="1"/>
    <col min="28" max="28" style="14" width="10.862142857142858" customWidth="1" bestFit="1"/>
    <col min="29" max="29" style="14" width="10.862142857142858" customWidth="1" bestFit="1"/>
    <col min="30" max="30" style="14" width="10.862142857142858" customWidth="1" bestFit="1"/>
    <col min="31" max="31" style="15" width="10.862142857142858" customWidth="1" bestFit="1"/>
    <col min="32" max="32" style="14" width="10.862142857142858" customWidth="1" bestFit="1"/>
    <col min="33" max="33" style="14" width="10.862142857142858" customWidth="1" bestFit="1"/>
    <col min="34" max="34" style="14" width="10.862142857142858" customWidth="1" bestFit="1"/>
    <col min="35" max="35" style="14" width="10.862142857142858" customWidth="1" bestFit="1"/>
    <col min="36" max="36" style="14" width="10.862142857142858" customWidth="1" bestFit="1"/>
    <col min="37" max="37" style="14" width="10.862142857142858" customWidth="1" bestFit="1"/>
    <col min="38" max="38" style="14" width="10.862142857142858" customWidth="1" bestFit="1"/>
    <col min="39" max="39" style="14" width="10.862142857142858" customWidth="1" bestFit="1"/>
    <col min="40" max="40" style="14" width="10.862142857142858" customWidth="1" bestFit="1"/>
    <col min="41" max="41" style="14" width="10.862142857142858" customWidth="1" bestFit="1"/>
    <col min="42" max="42" style="14" width="10.862142857142858" customWidth="1" bestFit="1"/>
    <col min="43" max="43" style="14" width="10.862142857142858" customWidth="1" bestFit="1"/>
    <col min="44" max="44" style="14" width="10.862142857142858" customWidth="1" bestFit="1"/>
    <col min="45" max="45" style="15" width="10.862142857142858" customWidth="1" bestFit="1"/>
    <col min="46" max="46" style="14" width="10.862142857142858" customWidth="1" bestFit="1"/>
    <col min="47" max="47" style="14" width="10.862142857142858" customWidth="1" bestFit="1"/>
    <col min="48" max="48" style="14" width="10.862142857142858" customWidth="1" bestFit="1"/>
    <col min="49" max="49" style="14" width="10.862142857142858" customWidth="1" bestFit="1"/>
    <col min="50" max="50" style="14" width="10.862142857142858" customWidth="1" bestFit="1"/>
    <col min="51" max="51" style="14" width="10.862142857142858" customWidth="1" bestFit="1"/>
    <col min="52" max="52" style="14" width="10.862142857142858" customWidth="1" bestFit="1"/>
    <col min="53" max="53" style="14" width="10.862142857142858" customWidth="1" bestFit="1"/>
    <col min="54" max="54" style="14" width="10.862142857142858" customWidth="1" bestFit="1"/>
    <col min="55" max="55" style="14" width="10.862142857142858" customWidth="1" bestFit="1"/>
    <col min="56" max="56" style="14" width="10.862142857142858" customWidth="1" bestFit="1"/>
    <col min="57" max="57" style="14" width="10.862142857142858" customWidth="1" bestFit="1"/>
    <col min="58" max="58" style="14" width="10.862142857142858" customWidth="1" bestFit="1"/>
    <col min="59" max="59" style="14" width="10.862142857142858" customWidth="1" bestFit="1"/>
    <col min="60" max="60" style="14" width="10.862142857142858" customWidth="1" bestFit="1"/>
    <col min="61" max="61" style="14" width="10.862142857142858" customWidth="1" bestFit="1"/>
    <col min="62" max="62" style="14" width="10.862142857142858" customWidth="1" bestFit="1"/>
    <col min="63" max="63" style="14" width="10.862142857142858" customWidth="1" bestFit="1"/>
    <col min="64" max="64" style="14" width="10.862142857142858" customWidth="1" bestFit="1"/>
    <col min="65" max="65" style="15" width="10.862142857142858" customWidth="1" bestFit="1"/>
    <col min="66" max="66" style="14" width="10.862142857142858" customWidth="1" bestFit="1"/>
    <col min="67" max="67" style="14" width="10.862142857142858" customWidth="1" bestFit="1"/>
    <col min="68" max="68" style="14" width="10.862142857142858" customWidth="1" bestFit="1"/>
    <col min="69" max="69" style="14" width="10.862142857142858" customWidth="1" bestFit="1"/>
    <col min="70" max="70" style="14" width="10.862142857142858" customWidth="1" bestFit="1"/>
    <col min="71" max="71" style="14" width="10.862142857142858" customWidth="1" bestFit="1"/>
    <col min="72" max="72" style="14" width="10.862142857142858" customWidth="1" bestFit="1"/>
    <col min="73" max="73" style="14" width="10.862142857142858" customWidth="1" bestFit="1"/>
    <col min="74" max="74" style="14" width="10.862142857142858" customWidth="1" bestFit="1"/>
    <col min="75" max="75" style="14" width="10.862142857142858" customWidth="1" bestFit="1"/>
    <col min="76" max="76" style="14" width="10.862142857142858" customWidth="1" bestFit="1"/>
    <col min="77" max="77" style="14" width="10.862142857142858" customWidth="1" bestFit="1"/>
    <col min="78" max="78" style="14" width="10.862142857142858" customWidth="1" bestFit="1"/>
    <col min="79" max="79" style="14" width="10.862142857142858" customWidth="1" bestFit="1"/>
    <col min="80" max="80" style="14" width="10.862142857142858" customWidth="1" bestFit="1"/>
    <col min="81" max="81" style="14" width="10.862142857142858" customWidth="1" bestFit="1"/>
    <col min="82" max="82" style="14" width="10.862142857142858" customWidth="1" bestFit="1"/>
    <col min="83" max="83" style="14" width="10.862142857142858" customWidth="1" bestFit="1"/>
    <col min="84" max="84" style="14" width="10.862142857142858" customWidth="1" bestFit="1"/>
    <col min="85" max="85" style="15" width="10.862142857142858" customWidth="1" bestFit="1"/>
    <col min="86" max="86" style="14" width="10.862142857142858" customWidth="1" bestFit="1"/>
    <col min="87" max="87" style="14" width="10.862142857142858" customWidth="1" bestFit="1"/>
    <col min="88" max="88" style="14" width="10.862142857142858" customWidth="1" bestFit="1"/>
    <col min="89" max="89" style="14" width="10.862142857142858" customWidth="1" bestFit="1"/>
    <col min="90" max="90" style="14" width="10.862142857142858" customWidth="1" bestFit="1"/>
    <col min="91" max="91" style="14" width="10.862142857142858" customWidth="1" bestFit="1"/>
    <col min="92" max="92" style="14" width="10.862142857142858" customWidth="1" bestFit="1"/>
    <col min="93" max="93" style="14" width="10.862142857142858" customWidth="1" bestFit="1"/>
    <col min="94" max="94" style="14" width="10.862142857142858" customWidth="1" bestFit="1"/>
    <col min="95" max="95" style="14" width="10.862142857142858" customWidth="1" bestFit="1"/>
    <col min="96" max="96" style="14" width="10.862142857142858" customWidth="1" bestFit="1"/>
    <col min="97" max="97" style="14" width="10.862142857142858" customWidth="1" bestFit="1"/>
    <col min="98" max="98" style="14" width="10.862142857142858" customWidth="1" bestFit="1"/>
    <col min="99" max="99" style="14" width="10.862142857142858" customWidth="1" bestFit="1"/>
    <col min="100" max="100" style="14" width="10.862142857142858" customWidth="1" bestFit="1"/>
    <col min="101" max="101" style="14" width="10.862142857142858" customWidth="1" bestFit="1"/>
    <col min="102" max="102" style="14" width="10.862142857142858" customWidth="1" bestFit="1"/>
    <col min="103" max="103" style="14" width="10.862142857142858" customWidth="1" bestFit="1"/>
    <col min="104" max="104" style="14" width="10.862142857142858" customWidth="1" bestFit="1"/>
    <col min="105" max="105" style="14" width="10.862142857142858" customWidth="1" bestFit="1"/>
    <col min="106" max="106" style="14" width="10.862142857142858" customWidth="1" bestFit="1"/>
    <col min="107" max="107" style="15" width="10.862142857142858" customWidth="1" bestFit="1"/>
    <col min="108" max="108" style="14" width="10.862142857142858" customWidth="1" bestFit="1"/>
    <col min="109" max="109" style="14" width="10.862142857142858" customWidth="1" bestFit="1"/>
    <col min="110" max="110" style="14" width="10.862142857142858" customWidth="1" bestFit="1"/>
    <col min="111" max="111" style="14" width="10.862142857142858" customWidth="1" bestFit="1"/>
    <col min="112" max="112" style="14" width="10.862142857142858" customWidth="1" bestFit="1"/>
    <col min="113" max="113" style="14" width="10.862142857142858" customWidth="1" bestFit="1"/>
    <col min="114" max="114" style="14" width="10.862142857142858" customWidth="1" bestFit="1"/>
    <col min="115" max="115" style="14" width="10.862142857142858" customWidth="1" bestFit="1"/>
    <col min="116" max="116" style="14" width="10.862142857142858" customWidth="1" bestFit="1"/>
    <col min="117" max="117" style="14" width="10.862142857142858" customWidth="1" bestFit="1"/>
    <col min="118" max="118" style="14" width="10.862142857142858" customWidth="1" bestFit="1"/>
    <col min="119" max="119" style="14" width="10.862142857142858" customWidth="1" bestFit="1"/>
    <col min="120" max="120" style="14" width="10.862142857142858" customWidth="1" bestFit="1"/>
    <col min="121" max="121" style="14" width="10.862142857142858" customWidth="1" bestFit="1"/>
    <col min="122" max="122" style="14" width="10.862142857142858" customWidth="1" bestFit="1"/>
    <col min="123" max="123" style="14" width="10.862142857142858" customWidth="1" bestFit="1"/>
    <col min="124" max="124" style="14" width="10.862142857142858" customWidth="1" bestFit="1"/>
    <col min="125" max="125" style="14" width="10.862142857142858" customWidth="1" bestFit="1"/>
    <col min="126" max="126" style="14" width="10.862142857142858" customWidth="1" bestFit="1"/>
    <col min="127" max="127" style="14" width="10.862142857142858" customWidth="1" bestFit="1"/>
    <col min="128" max="128" style="14" width="10.862142857142858" customWidth="1" bestFit="1"/>
    <col min="129" max="129" style="15" width="10.862142857142858" customWidth="1" bestFit="1"/>
    <col min="130" max="130" style="14" width="10.862142857142858" customWidth="1" bestFit="1"/>
    <col min="131" max="131" style="14" width="10.862142857142858" customWidth="1" bestFit="1"/>
    <col min="132" max="132" style="14" width="10.862142857142858" customWidth="1" bestFit="1"/>
    <col min="133" max="133" style="14" width="10.862142857142858" customWidth="1" bestFit="1"/>
    <col min="134" max="134" style="14" width="10.862142857142858" customWidth="1" bestFit="1"/>
    <col min="135" max="135" style="14" width="10.862142857142858" customWidth="1" bestFit="1"/>
    <col min="136" max="136" style="14" width="10.862142857142858" customWidth="1" bestFit="1"/>
    <col min="137" max="137" style="14" width="10.862142857142858" customWidth="1" bestFit="1"/>
    <col min="138" max="138" style="14" width="10.862142857142858" customWidth="1" bestFit="1"/>
    <col min="139" max="139" style="14" width="10.862142857142858" customWidth="1" bestFit="1"/>
    <col min="140" max="140" style="14" width="10.862142857142858" customWidth="1" bestFit="1"/>
    <col min="141" max="141" style="14" width="10.862142857142858" customWidth="1" bestFit="1"/>
    <col min="142" max="142" style="14" width="10.862142857142858" customWidth="1" bestFit="1"/>
    <col min="143" max="143" style="14" width="10.862142857142858" customWidth="1" bestFit="1"/>
    <col min="144" max="144" style="14" width="10.862142857142858" customWidth="1" bestFit="1"/>
    <col min="145" max="145" style="14" width="10.862142857142858" customWidth="1" bestFit="1"/>
    <col min="146" max="146" style="14" width="10.862142857142858" customWidth="1" bestFit="1"/>
    <col min="147" max="147" style="14" width="10.862142857142858" customWidth="1" bestFit="1"/>
    <col min="148" max="148" style="14" width="10.862142857142858" customWidth="1" bestFit="1"/>
    <col min="149" max="149" style="14" width="10.862142857142858" customWidth="1" bestFit="1"/>
    <col min="150" max="150" style="14" width="10.862142857142858" customWidth="1" bestFit="1"/>
    <col min="151" max="151" style="15" width="10.862142857142858" customWidth="1" bestFit="1"/>
    <col min="152" max="152" style="14" width="10.862142857142858" customWidth="1" bestFit="1"/>
    <col min="153" max="153" style="14" width="10.862142857142858" customWidth="1" bestFit="1"/>
    <col min="154" max="154" style="14" width="10.862142857142858" customWidth="1" bestFit="1"/>
    <col min="155" max="155" style="14" width="10.862142857142858" customWidth="1" bestFit="1"/>
    <col min="156" max="156" style="14" width="10.862142857142858" customWidth="1" bestFit="1"/>
    <col min="157" max="157" style="14" width="10.862142857142858" customWidth="1" bestFit="1"/>
    <col min="158" max="158" style="14" width="10.862142857142858" customWidth="1" bestFit="1"/>
    <col min="159" max="159" style="14" width="10.862142857142858" customWidth="1" bestFit="1"/>
    <col min="160" max="160" style="14" width="10.862142857142858" customWidth="1" bestFit="1"/>
    <col min="161" max="161" style="14" width="10.862142857142858" customWidth="1" bestFit="1"/>
    <col min="162" max="162" style="14" width="10.862142857142858" customWidth="1" bestFit="1"/>
    <col min="163" max="163" style="14" width="10.862142857142858" customWidth="1" bestFit="1"/>
    <col min="164" max="164" style="14" width="10.862142857142858" customWidth="1" bestFit="1"/>
    <col min="165" max="165" style="14" width="10.862142857142858" customWidth="1" bestFit="1"/>
    <col min="166" max="166" style="14" width="10.862142857142858" customWidth="1" bestFit="1"/>
    <col min="167" max="167" style="14" width="10.862142857142858" customWidth="1" bestFit="1"/>
    <col min="168" max="168" style="14" width="10.862142857142858" customWidth="1" bestFit="1"/>
    <col min="169" max="169" style="14" width="10.862142857142858" customWidth="1" bestFit="1"/>
    <col min="170" max="170" style="14" width="10.862142857142858" customWidth="1" bestFit="1"/>
    <col min="171" max="171" style="14" width="10.862142857142858" customWidth="1" bestFit="1"/>
  </cols>
  <sheetData>
    <row x14ac:dyDescent="0.25" r="1" customHeight="1" ht="18" customFormat="1" s="8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23</v>
      </c>
      <c r="X1" s="10" t="s">
        <v>22</v>
      </c>
      <c r="Y1" s="10" t="s">
        <v>24</v>
      </c>
      <c r="Z1" s="10" t="s">
        <v>26</v>
      </c>
      <c r="AA1" s="10" t="s">
        <v>25</v>
      </c>
      <c r="AB1" s="10" t="s">
        <v>27</v>
      </c>
      <c r="AC1" s="10" t="s">
        <v>28</v>
      </c>
      <c r="AD1" s="10" t="s">
        <v>29</v>
      </c>
      <c r="AE1" s="11" t="s">
        <v>30</v>
      </c>
      <c r="AF1" s="10" t="s">
        <v>31</v>
      </c>
      <c r="AG1" s="10" t="s">
        <v>33</v>
      </c>
      <c r="AH1" s="10" t="s">
        <v>32</v>
      </c>
      <c r="AI1" s="10" t="s">
        <v>364</v>
      </c>
      <c r="AJ1" s="10" t="s">
        <v>368</v>
      </c>
      <c r="AK1" s="10" t="s">
        <v>34</v>
      </c>
      <c r="AL1" s="10" t="s">
        <v>36</v>
      </c>
      <c r="AM1" s="10" t="s">
        <v>35</v>
      </c>
      <c r="AN1" s="10" t="s">
        <v>370</v>
      </c>
      <c r="AO1" s="10" t="s">
        <v>374</v>
      </c>
      <c r="AP1" s="10" t="s">
        <v>37</v>
      </c>
      <c r="AQ1" s="10" t="s">
        <v>38</v>
      </c>
      <c r="AR1" s="10" t="s">
        <v>39</v>
      </c>
      <c r="AS1" s="11" t="s">
        <v>40</v>
      </c>
      <c r="AT1" s="10" t="s">
        <v>375</v>
      </c>
      <c r="AU1" s="10" t="s">
        <v>41</v>
      </c>
      <c r="AV1" s="10" t="s">
        <v>43</v>
      </c>
      <c r="AW1" s="10" t="s">
        <v>42</v>
      </c>
      <c r="AX1" s="10" t="s">
        <v>377</v>
      </c>
      <c r="AY1" s="10" t="s">
        <v>382</v>
      </c>
      <c r="AZ1" s="10" t="s">
        <v>380</v>
      </c>
      <c r="BA1" s="10" t="s">
        <v>383</v>
      </c>
      <c r="BB1" s="10" t="s">
        <v>384</v>
      </c>
      <c r="BC1" s="10" t="s">
        <v>44</v>
      </c>
      <c r="BD1" s="10" t="s">
        <v>46</v>
      </c>
      <c r="BE1" s="10" t="s">
        <v>45</v>
      </c>
      <c r="BF1" s="10" t="s">
        <v>386</v>
      </c>
      <c r="BG1" s="10" t="s">
        <v>391</v>
      </c>
      <c r="BH1" s="10" t="s">
        <v>389</v>
      </c>
      <c r="BI1" s="10" t="s">
        <v>392</v>
      </c>
      <c r="BJ1" s="10" t="s">
        <v>47</v>
      </c>
      <c r="BK1" s="10" t="s">
        <v>48</v>
      </c>
      <c r="BL1" s="10" t="s">
        <v>49</v>
      </c>
      <c r="BM1" s="11" t="s">
        <v>50</v>
      </c>
      <c r="BN1" s="10" t="s">
        <v>393</v>
      </c>
      <c r="BO1" s="10" t="s">
        <v>51</v>
      </c>
      <c r="BP1" s="10" t="s">
        <v>53</v>
      </c>
      <c r="BQ1" s="10" t="s">
        <v>52</v>
      </c>
      <c r="BR1" s="10" t="s">
        <v>394</v>
      </c>
      <c r="BS1" s="10" t="s">
        <v>397</v>
      </c>
      <c r="BT1" s="10" t="s">
        <v>396</v>
      </c>
      <c r="BU1" s="10" t="s">
        <v>398</v>
      </c>
      <c r="BV1" s="10" t="s">
        <v>399</v>
      </c>
      <c r="BW1" s="10" t="s">
        <v>54</v>
      </c>
      <c r="BX1" s="10" t="s">
        <v>56</v>
      </c>
      <c r="BY1" s="10" t="s">
        <v>55</v>
      </c>
      <c r="BZ1" s="10" t="s">
        <v>400</v>
      </c>
      <c r="CA1" s="10" t="s">
        <v>403</v>
      </c>
      <c r="CB1" s="10" t="s">
        <v>402</v>
      </c>
      <c r="CC1" s="10" t="s">
        <v>404</v>
      </c>
      <c r="CD1" s="10" t="s">
        <v>57</v>
      </c>
      <c r="CE1" s="10" t="s">
        <v>58</v>
      </c>
      <c r="CF1" s="10" t="s">
        <v>59</v>
      </c>
      <c r="CG1" s="11" t="s">
        <v>60</v>
      </c>
      <c r="CH1" s="10" t="s">
        <v>405</v>
      </c>
      <c r="CI1" s="10" t="s">
        <v>61</v>
      </c>
      <c r="CJ1" s="10" t="s">
        <v>63</v>
      </c>
      <c r="CK1" s="10" t="s">
        <v>62</v>
      </c>
      <c r="CL1" s="10" t="s">
        <v>406</v>
      </c>
      <c r="CM1" s="10" t="s">
        <v>409</v>
      </c>
      <c r="CN1" s="10" t="s">
        <v>408</v>
      </c>
      <c r="CO1" s="10" t="s">
        <v>410</v>
      </c>
      <c r="CP1" s="10" t="s">
        <v>411</v>
      </c>
      <c r="CQ1" s="10" t="s">
        <v>412</v>
      </c>
      <c r="CR1" s="10" t="s">
        <v>64</v>
      </c>
      <c r="CS1" s="10" t="s">
        <v>66</v>
      </c>
      <c r="CT1" s="10" t="s">
        <v>65</v>
      </c>
      <c r="CU1" s="10" t="s">
        <v>413</v>
      </c>
      <c r="CV1" s="10" t="s">
        <v>416</v>
      </c>
      <c r="CW1" s="10" t="s">
        <v>415</v>
      </c>
      <c r="CX1" s="10" t="s">
        <v>417</v>
      </c>
      <c r="CY1" s="10" t="s">
        <v>418</v>
      </c>
      <c r="CZ1" s="10" t="s">
        <v>67</v>
      </c>
      <c r="DA1" s="10" t="s">
        <v>68</v>
      </c>
      <c r="DB1" s="10" t="s">
        <v>69</v>
      </c>
      <c r="DC1" s="11" t="s">
        <v>70</v>
      </c>
      <c r="DD1" s="10" t="s">
        <v>419</v>
      </c>
      <c r="DE1" s="10" t="s">
        <v>71</v>
      </c>
      <c r="DF1" s="10" t="s">
        <v>73</v>
      </c>
      <c r="DG1" s="10" t="s">
        <v>72</v>
      </c>
      <c r="DH1" s="10" t="s">
        <v>420</v>
      </c>
      <c r="DI1" s="10" t="s">
        <v>423</v>
      </c>
      <c r="DJ1" s="10" t="s">
        <v>422</v>
      </c>
      <c r="DK1" s="10" t="s">
        <v>424</v>
      </c>
      <c r="DL1" s="10" t="s">
        <v>425</v>
      </c>
      <c r="DM1" s="10" t="s">
        <v>426</v>
      </c>
      <c r="DN1" s="10" t="s">
        <v>74</v>
      </c>
      <c r="DO1" s="10" t="s">
        <v>76</v>
      </c>
      <c r="DP1" s="10" t="s">
        <v>75</v>
      </c>
      <c r="DQ1" s="10" t="s">
        <v>427</v>
      </c>
      <c r="DR1" s="10" t="s">
        <v>430</v>
      </c>
      <c r="DS1" s="10" t="s">
        <v>429</v>
      </c>
      <c r="DT1" s="10" t="s">
        <v>431</v>
      </c>
      <c r="DU1" s="10" t="s">
        <v>432</v>
      </c>
      <c r="DV1" s="10" t="s">
        <v>77</v>
      </c>
      <c r="DW1" s="10" t="s">
        <v>78</v>
      </c>
      <c r="DX1" s="10" t="s">
        <v>79</v>
      </c>
      <c r="DY1" s="11" t="s">
        <v>80</v>
      </c>
      <c r="DZ1" s="10" t="s">
        <v>433</v>
      </c>
      <c r="EA1" s="10" t="s">
        <v>81</v>
      </c>
      <c r="EB1" s="10" t="s">
        <v>83</v>
      </c>
      <c r="EC1" s="10" t="s">
        <v>82</v>
      </c>
      <c r="ED1" s="10" t="s">
        <v>434</v>
      </c>
      <c r="EE1" s="10" t="s">
        <v>437</v>
      </c>
      <c r="EF1" s="10" t="s">
        <v>436</v>
      </c>
      <c r="EG1" s="10" t="s">
        <v>438</v>
      </c>
      <c r="EH1" s="10" t="s">
        <v>439</v>
      </c>
      <c r="EI1" s="10" t="s">
        <v>440</v>
      </c>
      <c r="EJ1" s="10" t="s">
        <v>84</v>
      </c>
      <c r="EK1" s="10" t="s">
        <v>86</v>
      </c>
      <c r="EL1" s="10" t="s">
        <v>85</v>
      </c>
      <c r="EM1" s="10" t="s">
        <v>441</v>
      </c>
      <c r="EN1" s="10" t="s">
        <v>444</v>
      </c>
      <c r="EO1" s="10" t="s">
        <v>443</v>
      </c>
      <c r="EP1" s="10" t="s">
        <v>445</v>
      </c>
      <c r="EQ1" s="10" t="s">
        <v>446</v>
      </c>
      <c r="ER1" s="10" t="s">
        <v>87</v>
      </c>
      <c r="ES1" s="10" t="s">
        <v>88</v>
      </c>
      <c r="ET1" s="10" t="s">
        <v>89</v>
      </c>
      <c r="EU1" s="11" t="s">
        <v>90</v>
      </c>
      <c r="EV1" s="10" t="s">
        <v>447</v>
      </c>
      <c r="EW1" s="10" t="s">
        <v>91</v>
      </c>
      <c r="EX1" s="10" t="s">
        <v>93</v>
      </c>
      <c r="EY1" s="10" t="s">
        <v>92</v>
      </c>
      <c r="EZ1" s="10" t="s">
        <v>448</v>
      </c>
      <c r="FA1" s="10" t="s">
        <v>451</v>
      </c>
      <c r="FB1" s="10" t="s">
        <v>450</v>
      </c>
      <c r="FC1" s="10" t="s">
        <v>452</v>
      </c>
      <c r="FD1" s="10" t="s">
        <v>453</v>
      </c>
      <c r="FE1" s="10" t="s">
        <v>454</v>
      </c>
      <c r="FF1" s="10" t="s">
        <v>94</v>
      </c>
      <c r="FG1" s="10" t="s">
        <v>96</v>
      </c>
      <c r="FH1" s="10" t="s">
        <v>95</v>
      </c>
      <c r="FI1" s="10" t="s">
        <v>455</v>
      </c>
      <c r="FJ1" s="10" t="s">
        <v>458</v>
      </c>
      <c r="FK1" s="10" t="s">
        <v>457</v>
      </c>
      <c r="FL1" s="10" t="s">
        <v>459</v>
      </c>
      <c r="FM1" s="10" t="s">
        <v>460</v>
      </c>
      <c r="FN1" s="10" t="s">
        <v>97</v>
      </c>
      <c r="FO1" s="10" t="s">
        <v>98</v>
      </c>
    </row>
    <row x14ac:dyDescent="0.25" r="2" customHeight="1" ht="18" customFormat="1" s="8">
      <c r="A2" s="9" t="s">
        <v>493</v>
      </c>
      <c r="B2" s="12">
        <v>30901</v>
      </c>
      <c r="C2" s="10" t="s">
        <v>494</v>
      </c>
      <c r="D2" s="12">
        <v>53520</v>
      </c>
      <c r="E2" s="12">
        <v>6303702</v>
      </c>
      <c r="F2" s="12">
        <v>53520</v>
      </c>
      <c r="G2" s="12">
        <v>6303702</v>
      </c>
      <c r="H2" s="12">
        <v>19815</v>
      </c>
      <c r="I2" s="10" t="s">
        <v>495</v>
      </c>
      <c r="J2" s="12">
        <v>34320</v>
      </c>
      <c r="K2" s="12">
        <v>4042284</v>
      </c>
      <c r="L2" s="12">
        <v>34320</v>
      </c>
      <c r="M2" s="12">
        <v>4042284</v>
      </c>
      <c r="N2" s="12">
        <v>3741</v>
      </c>
      <c r="O2" s="10" t="s">
        <v>496</v>
      </c>
      <c r="P2" s="12">
        <v>6480</v>
      </c>
      <c r="Q2" s="12">
        <v>763228</v>
      </c>
      <c r="R2" s="12">
        <v>6480</v>
      </c>
      <c r="S2" s="12">
        <v>763228</v>
      </c>
      <c r="T2" s="12">
        <v>76212</v>
      </c>
      <c r="U2" s="10" t="s">
        <v>467</v>
      </c>
      <c r="V2" s="12">
        <v>0</v>
      </c>
      <c r="W2" s="12">
        <v>132000</v>
      </c>
      <c r="X2" s="12">
        <v>0</v>
      </c>
      <c r="Y2" s="12">
        <v>0</v>
      </c>
      <c r="Z2" s="12">
        <v>15547247</v>
      </c>
      <c r="AA2" s="12">
        <v>0</v>
      </c>
      <c r="AB2" s="12">
        <v>132000</v>
      </c>
      <c r="AC2" s="12">
        <v>15547247</v>
      </c>
      <c r="AD2" s="12">
        <v>76212</v>
      </c>
      <c r="AE2" s="11" t="s">
        <v>467</v>
      </c>
      <c r="AF2" s="12">
        <v>0</v>
      </c>
      <c r="AG2" s="12">
        <v>132000</v>
      </c>
      <c r="AH2" s="12">
        <v>0</v>
      </c>
      <c r="AI2" s="12">
        <v>0</v>
      </c>
      <c r="AJ2" s="12">
        <v>0</v>
      </c>
      <c r="AK2" s="12">
        <v>0</v>
      </c>
      <c r="AL2" s="12">
        <v>15547247</v>
      </c>
      <c r="AM2" s="12">
        <v>0</v>
      </c>
      <c r="AN2" s="12">
        <v>0</v>
      </c>
      <c r="AO2" s="12">
        <v>0</v>
      </c>
      <c r="AP2" s="12">
        <v>132000</v>
      </c>
      <c r="AQ2" s="12">
        <v>15547247</v>
      </c>
      <c r="AR2" s="12">
        <v>76212</v>
      </c>
      <c r="AS2" s="11" t="s">
        <v>467</v>
      </c>
      <c r="AT2" s="12">
        <v>0</v>
      </c>
      <c r="AU2" s="12">
        <v>0</v>
      </c>
      <c r="AV2" s="12">
        <v>132000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15547247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132000</v>
      </c>
      <c r="BK2" s="12">
        <v>15547247</v>
      </c>
      <c r="BL2" s="12">
        <v>76212</v>
      </c>
      <c r="BM2" s="11" t="s">
        <v>467</v>
      </c>
      <c r="BN2" s="12">
        <v>0</v>
      </c>
      <c r="BO2" s="12">
        <v>0</v>
      </c>
      <c r="BP2" s="12">
        <v>132000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15547247</v>
      </c>
      <c r="BY2" s="12">
        <v>0</v>
      </c>
      <c r="BZ2" s="12">
        <v>0</v>
      </c>
      <c r="CA2" s="12">
        <v>0</v>
      </c>
      <c r="CB2" s="12">
        <v>0</v>
      </c>
      <c r="CC2" s="12">
        <v>0</v>
      </c>
      <c r="CD2" s="12">
        <v>132000</v>
      </c>
      <c r="CE2" s="12">
        <v>15547247</v>
      </c>
      <c r="CF2" s="12">
        <v>76212</v>
      </c>
      <c r="CG2" s="11" t="s">
        <v>467</v>
      </c>
      <c r="CH2" s="12">
        <v>0</v>
      </c>
      <c r="CI2" s="12">
        <v>0</v>
      </c>
      <c r="CJ2" s="12">
        <v>132000</v>
      </c>
      <c r="CK2" s="12">
        <v>0</v>
      </c>
      <c r="CL2" s="12">
        <v>0</v>
      </c>
      <c r="CM2" s="12">
        <v>0</v>
      </c>
      <c r="CN2" s="12">
        <v>0</v>
      </c>
      <c r="CO2" s="12">
        <v>0</v>
      </c>
      <c r="CP2" s="12">
        <v>0</v>
      </c>
      <c r="CQ2" s="12">
        <v>0</v>
      </c>
      <c r="CR2" s="12">
        <v>0</v>
      </c>
      <c r="CS2" s="12">
        <v>15547247</v>
      </c>
      <c r="CT2" s="12">
        <v>0</v>
      </c>
      <c r="CU2" s="12">
        <v>0</v>
      </c>
      <c r="CV2" s="12">
        <v>0</v>
      </c>
      <c r="CW2" s="12">
        <v>0</v>
      </c>
      <c r="CX2" s="12">
        <v>0</v>
      </c>
      <c r="CY2" s="12">
        <v>0</v>
      </c>
      <c r="CZ2" s="12">
        <v>132000</v>
      </c>
      <c r="DA2" s="12">
        <v>15547247</v>
      </c>
      <c r="DB2" s="12">
        <v>76212</v>
      </c>
      <c r="DC2" s="11" t="s">
        <v>467</v>
      </c>
      <c r="DD2" s="12">
        <v>0</v>
      </c>
      <c r="DE2" s="12">
        <v>0</v>
      </c>
      <c r="DF2" s="12">
        <v>132000</v>
      </c>
      <c r="DG2" s="12">
        <v>0</v>
      </c>
      <c r="DH2" s="12">
        <v>0</v>
      </c>
      <c r="DI2" s="12">
        <v>0</v>
      </c>
      <c r="DJ2" s="12">
        <v>0</v>
      </c>
      <c r="DK2" s="12">
        <v>0</v>
      </c>
      <c r="DL2" s="12">
        <v>0</v>
      </c>
      <c r="DM2" s="12">
        <v>0</v>
      </c>
      <c r="DN2" s="12">
        <v>0</v>
      </c>
      <c r="DO2" s="12">
        <v>15547247</v>
      </c>
      <c r="DP2" s="12">
        <v>0</v>
      </c>
      <c r="DQ2" s="12">
        <v>0</v>
      </c>
      <c r="DR2" s="12">
        <v>0</v>
      </c>
      <c r="DS2" s="12">
        <v>0</v>
      </c>
      <c r="DT2" s="12">
        <v>0</v>
      </c>
      <c r="DU2" s="12">
        <v>0</v>
      </c>
      <c r="DV2" s="12">
        <v>132000</v>
      </c>
      <c r="DW2" s="12">
        <v>15547247</v>
      </c>
      <c r="DX2" s="12">
        <v>76212</v>
      </c>
      <c r="DY2" s="11" t="s">
        <v>467</v>
      </c>
      <c r="DZ2" s="12">
        <v>0</v>
      </c>
      <c r="EA2" s="12">
        <v>0</v>
      </c>
      <c r="EB2" s="12">
        <v>132000</v>
      </c>
      <c r="EC2" s="12">
        <v>0</v>
      </c>
      <c r="ED2" s="12">
        <v>0</v>
      </c>
      <c r="EE2" s="12">
        <v>0</v>
      </c>
      <c r="EF2" s="12">
        <v>0</v>
      </c>
      <c r="EG2" s="12">
        <v>0</v>
      </c>
      <c r="EH2" s="12">
        <v>0</v>
      </c>
      <c r="EI2" s="12">
        <v>0</v>
      </c>
      <c r="EJ2" s="12">
        <v>0</v>
      </c>
      <c r="EK2" s="12">
        <v>15547247</v>
      </c>
      <c r="EL2" s="12">
        <v>0</v>
      </c>
      <c r="EM2" s="12">
        <v>0</v>
      </c>
      <c r="EN2" s="12">
        <v>0</v>
      </c>
      <c r="EO2" s="12">
        <v>0</v>
      </c>
      <c r="EP2" s="12">
        <v>0</v>
      </c>
      <c r="EQ2" s="12">
        <v>0</v>
      </c>
      <c r="ER2" s="12">
        <v>132000</v>
      </c>
      <c r="ES2" s="12">
        <v>15547247</v>
      </c>
      <c r="ET2" s="12">
        <v>76212</v>
      </c>
      <c r="EU2" s="11" t="s">
        <v>467</v>
      </c>
      <c r="EV2" s="12">
        <v>0</v>
      </c>
      <c r="EW2" s="12">
        <v>0</v>
      </c>
      <c r="EX2" s="12">
        <v>132000</v>
      </c>
      <c r="EY2" s="12">
        <v>0</v>
      </c>
      <c r="EZ2" s="12">
        <v>0</v>
      </c>
      <c r="FA2" s="12">
        <v>0</v>
      </c>
      <c r="FB2" s="12">
        <v>0</v>
      </c>
      <c r="FC2" s="12">
        <v>0</v>
      </c>
      <c r="FD2" s="12">
        <v>0</v>
      </c>
      <c r="FE2" s="12">
        <v>0</v>
      </c>
      <c r="FF2" s="12">
        <v>0</v>
      </c>
      <c r="FG2" s="12">
        <v>15547247</v>
      </c>
      <c r="FH2" s="12">
        <v>0</v>
      </c>
      <c r="FI2" s="12">
        <v>0</v>
      </c>
      <c r="FJ2" s="12">
        <v>0</v>
      </c>
      <c r="FK2" s="12">
        <v>0</v>
      </c>
      <c r="FL2" s="12">
        <v>0</v>
      </c>
      <c r="FM2" s="12">
        <v>0</v>
      </c>
      <c r="FN2" s="12">
        <v>132000</v>
      </c>
      <c r="FO2" s="12">
        <v>15547247</v>
      </c>
    </row>
    <row x14ac:dyDescent="0.25" r="3" customHeight="1" ht="18" customFormat="1" s="8">
      <c r="A3" s="9" t="s">
        <v>497</v>
      </c>
      <c r="B3" s="12">
        <v>0</v>
      </c>
      <c r="C3" s="10" t="s">
        <v>112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0" t="s">
        <v>112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0" t="s">
        <v>112</v>
      </c>
      <c r="P3" s="12">
        <v>0</v>
      </c>
      <c r="Q3" s="12">
        <v>0</v>
      </c>
      <c r="R3" s="12">
        <v>0</v>
      </c>
      <c r="S3" s="12">
        <v>0</v>
      </c>
      <c r="T3" s="12">
        <v>37413</v>
      </c>
      <c r="U3" s="10" t="s">
        <v>498</v>
      </c>
      <c r="V3" s="12">
        <v>30000</v>
      </c>
      <c r="W3" s="12">
        <v>32400</v>
      </c>
      <c r="X3" s="12">
        <v>2400</v>
      </c>
      <c r="Y3" s="12">
        <v>3533465</v>
      </c>
      <c r="Z3" s="12">
        <v>3816142</v>
      </c>
      <c r="AA3" s="12">
        <v>282677</v>
      </c>
      <c r="AB3" s="12">
        <v>64800</v>
      </c>
      <c r="AC3" s="12">
        <v>7632285</v>
      </c>
      <c r="AD3" s="12">
        <v>76130</v>
      </c>
      <c r="AE3" s="11" t="s">
        <v>499</v>
      </c>
      <c r="AF3" s="12">
        <v>30000</v>
      </c>
      <c r="AG3" s="12">
        <v>35280</v>
      </c>
      <c r="AH3" s="12">
        <v>13680</v>
      </c>
      <c r="AI3" s="12">
        <v>43680</v>
      </c>
      <c r="AJ3" s="12">
        <v>15840</v>
      </c>
      <c r="AK3" s="12">
        <v>3533465</v>
      </c>
      <c r="AL3" s="12">
        <v>4155355</v>
      </c>
      <c r="AM3" s="12">
        <v>1611260</v>
      </c>
      <c r="AN3" s="12">
        <v>4804800</v>
      </c>
      <c r="AO3" s="12">
        <v>1425600</v>
      </c>
      <c r="AP3" s="12">
        <v>138480</v>
      </c>
      <c r="AQ3" s="12">
        <v>15530481</v>
      </c>
      <c r="AR3" s="12">
        <v>76172</v>
      </c>
      <c r="AS3" s="11" t="s">
        <v>485</v>
      </c>
      <c r="AT3" s="12">
        <v>0</v>
      </c>
      <c r="AU3" s="12">
        <v>30000</v>
      </c>
      <c r="AV3" s="12">
        <v>46560</v>
      </c>
      <c r="AW3" s="12">
        <v>33120</v>
      </c>
      <c r="AX3" s="12">
        <v>0</v>
      </c>
      <c r="AY3" s="12">
        <v>0</v>
      </c>
      <c r="AZ3" s="12">
        <v>0</v>
      </c>
      <c r="BA3" s="12">
        <v>18720</v>
      </c>
      <c r="BB3" s="12">
        <v>0</v>
      </c>
      <c r="BC3" s="12">
        <v>3533465</v>
      </c>
      <c r="BD3" s="12">
        <v>5483938</v>
      </c>
      <c r="BE3" s="12">
        <v>3900945</v>
      </c>
      <c r="BF3" s="12">
        <v>0</v>
      </c>
      <c r="BG3" s="12">
        <v>0</v>
      </c>
      <c r="BH3" s="12">
        <v>0</v>
      </c>
      <c r="BI3" s="12">
        <v>2620800</v>
      </c>
      <c r="BJ3" s="12">
        <v>128400</v>
      </c>
      <c r="BK3" s="12">
        <v>15539149</v>
      </c>
      <c r="BL3" s="12">
        <v>76196</v>
      </c>
      <c r="BM3" s="11" t="s">
        <v>466</v>
      </c>
      <c r="BN3" s="12">
        <v>0</v>
      </c>
      <c r="BO3" s="12">
        <v>12240</v>
      </c>
      <c r="BP3" s="12">
        <v>85200</v>
      </c>
      <c r="BQ3" s="12">
        <v>16560</v>
      </c>
      <c r="BR3" s="12">
        <v>0</v>
      </c>
      <c r="BS3" s="12">
        <v>0</v>
      </c>
      <c r="BT3" s="12">
        <v>0</v>
      </c>
      <c r="BU3" s="12">
        <v>15120</v>
      </c>
      <c r="BV3" s="12">
        <v>0</v>
      </c>
      <c r="BW3" s="12">
        <v>1441653</v>
      </c>
      <c r="BX3" s="12">
        <v>10035041</v>
      </c>
      <c r="BY3" s="12">
        <v>1950472</v>
      </c>
      <c r="BZ3" s="12">
        <v>0</v>
      </c>
      <c r="CA3" s="12">
        <v>0</v>
      </c>
      <c r="CB3" s="12">
        <v>0</v>
      </c>
      <c r="CC3" s="12">
        <v>2116800</v>
      </c>
      <c r="CD3" s="12">
        <v>129120</v>
      </c>
      <c r="CE3" s="12">
        <v>15543968</v>
      </c>
      <c r="CF3" s="12">
        <v>76212</v>
      </c>
      <c r="CG3" s="11" t="s">
        <v>467</v>
      </c>
      <c r="CH3" s="12">
        <v>0</v>
      </c>
      <c r="CI3" s="12">
        <v>0</v>
      </c>
      <c r="CJ3" s="12">
        <v>132000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15547247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132000</v>
      </c>
      <c r="DA3" s="12">
        <v>15547247</v>
      </c>
      <c r="DB3" s="12">
        <v>76212</v>
      </c>
      <c r="DC3" s="11" t="s">
        <v>467</v>
      </c>
      <c r="DD3" s="12">
        <v>0</v>
      </c>
      <c r="DE3" s="12">
        <v>0</v>
      </c>
      <c r="DF3" s="12">
        <v>132000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15547247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132000</v>
      </c>
      <c r="DW3" s="12">
        <v>15547247</v>
      </c>
      <c r="DX3" s="12">
        <v>76212</v>
      </c>
      <c r="DY3" s="11" t="s">
        <v>467</v>
      </c>
      <c r="DZ3" s="12">
        <v>0</v>
      </c>
      <c r="EA3" s="12">
        <v>0</v>
      </c>
      <c r="EB3" s="12">
        <v>132000</v>
      </c>
      <c r="EC3" s="12">
        <v>0</v>
      </c>
      <c r="ED3" s="12">
        <v>0</v>
      </c>
      <c r="EE3" s="12">
        <v>0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15547247</v>
      </c>
      <c r="EL3" s="12">
        <v>0</v>
      </c>
      <c r="EM3" s="12">
        <v>0</v>
      </c>
      <c r="EN3" s="12">
        <v>0</v>
      </c>
      <c r="EO3" s="12">
        <v>0</v>
      </c>
      <c r="EP3" s="12">
        <v>0</v>
      </c>
      <c r="EQ3" s="12">
        <v>0</v>
      </c>
      <c r="ER3" s="12">
        <v>132000</v>
      </c>
      <c r="ES3" s="12">
        <v>15547247</v>
      </c>
      <c r="ET3" s="12">
        <v>76212</v>
      </c>
      <c r="EU3" s="11" t="s">
        <v>467</v>
      </c>
      <c r="EV3" s="12">
        <v>0</v>
      </c>
      <c r="EW3" s="12">
        <v>0</v>
      </c>
      <c r="EX3" s="12">
        <v>132000</v>
      </c>
      <c r="EY3" s="12">
        <v>0</v>
      </c>
      <c r="EZ3" s="12">
        <v>0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15547247</v>
      </c>
      <c r="FH3" s="12">
        <v>0</v>
      </c>
      <c r="FI3" s="12">
        <v>0</v>
      </c>
      <c r="FJ3" s="12">
        <v>0</v>
      </c>
      <c r="FK3" s="12">
        <v>0</v>
      </c>
      <c r="FL3" s="12">
        <v>0</v>
      </c>
      <c r="FM3" s="12">
        <v>0</v>
      </c>
      <c r="FN3" s="12">
        <v>132000</v>
      </c>
      <c r="FO3" s="12">
        <v>15547247</v>
      </c>
    </row>
    <row x14ac:dyDescent="0.25" r="4" customHeight="1" ht="18" customFormat="1" s="8">
      <c r="A4" s="9" t="s">
        <v>500</v>
      </c>
      <c r="B4" s="12">
        <v>0</v>
      </c>
      <c r="C4" s="10" t="s">
        <v>112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0" t="s">
        <v>112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0" t="s">
        <v>112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0" t="s">
        <v>112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3812</v>
      </c>
      <c r="AE4" s="11" t="s">
        <v>501</v>
      </c>
      <c r="AF4" s="12">
        <v>0</v>
      </c>
      <c r="AG4" s="12">
        <v>0</v>
      </c>
      <c r="AH4" s="12">
        <v>0</v>
      </c>
      <c r="AI4" s="12">
        <v>0</v>
      </c>
      <c r="AJ4" s="12">
        <v>8640</v>
      </c>
      <c r="AK4" s="12">
        <v>0</v>
      </c>
      <c r="AL4" s="12">
        <v>0</v>
      </c>
      <c r="AM4" s="12">
        <v>0</v>
      </c>
      <c r="AN4" s="12">
        <v>0</v>
      </c>
      <c r="AO4" s="12">
        <v>777600</v>
      </c>
      <c r="AP4" s="12">
        <v>8640</v>
      </c>
      <c r="AQ4" s="12">
        <v>777600</v>
      </c>
      <c r="AR4" s="12">
        <v>76188</v>
      </c>
      <c r="AS4" s="11" t="s">
        <v>308</v>
      </c>
      <c r="AT4" s="12">
        <v>45360</v>
      </c>
      <c r="AU4" s="12">
        <v>0</v>
      </c>
      <c r="AV4" s="12">
        <v>0</v>
      </c>
      <c r="AW4" s="12">
        <v>0</v>
      </c>
      <c r="AX4" s="12">
        <v>38160</v>
      </c>
      <c r="AY4" s="12">
        <v>0</v>
      </c>
      <c r="AZ4" s="12">
        <v>13680</v>
      </c>
      <c r="BA4" s="12">
        <v>46320</v>
      </c>
      <c r="BB4" s="12">
        <v>3628800</v>
      </c>
      <c r="BC4" s="12">
        <v>0</v>
      </c>
      <c r="BD4" s="12">
        <v>0</v>
      </c>
      <c r="BE4" s="12">
        <v>0</v>
      </c>
      <c r="BF4" s="12">
        <v>4197600</v>
      </c>
      <c r="BG4" s="12">
        <v>0</v>
      </c>
      <c r="BH4" s="12">
        <v>1231200</v>
      </c>
      <c r="BI4" s="12">
        <v>6484800</v>
      </c>
      <c r="BJ4" s="12">
        <v>143520</v>
      </c>
      <c r="BK4" s="12">
        <v>15542400</v>
      </c>
      <c r="BL4" s="12">
        <v>76153</v>
      </c>
      <c r="BM4" s="11" t="s">
        <v>502</v>
      </c>
      <c r="BN4" s="12">
        <v>19920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34320</v>
      </c>
      <c r="BU4" s="12">
        <v>77520</v>
      </c>
      <c r="BV4" s="12">
        <v>1593600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3088800</v>
      </c>
      <c r="CC4" s="12">
        <v>10852800</v>
      </c>
      <c r="CD4" s="12">
        <v>131760</v>
      </c>
      <c r="CE4" s="12">
        <v>15535200</v>
      </c>
      <c r="CF4" s="12">
        <v>76183</v>
      </c>
      <c r="CG4" s="11" t="s">
        <v>465</v>
      </c>
      <c r="CH4" s="12">
        <v>0</v>
      </c>
      <c r="CI4" s="12">
        <v>24960</v>
      </c>
      <c r="CJ4" s="12">
        <v>25920</v>
      </c>
      <c r="CK4" s="12">
        <v>26400</v>
      </c>
      <c r="CL4" s="12">
        <v>0</v>
      </c>
      <c r="CM4" s="12">
        <v>0</v>
      </c>
      <c r="CN4" s="12">
        <v>240</v>
      </c>
      <c r="CO4" s="12">
        <v>45840</v>
      </c>
      <c r="CP4" s="12">
        <v>0</v>
      </c>
      <c r="CQ4" s="12">
        <v>0</v>
      </c>
      <c r="CR4" s="12">
        <v>2939843</v>
      </c>
      <c r="CS4" s="12">
        <v>3052914</v>
      </c>
      <c r="CT4" s="12">
        <v>3109449</v>
      </c>
      <c r="CU4" s="12">
        <v>0</v>
      </c>
      <c r="CV4" s="12">
        <v>0</v>
      </c>
      <c r="CW4" s="12">
        <v>21600</v>
      </c>
      <c r="CX4" s="12">
        <v>6417600</v>
      </c>
      <c r="CY4" s="12">
        <v>0</v>
      </c>
      <c r="CZ4" s="12">
        <v>123360</v>
      </c>
      <c r="DA4" s="12">
        <v>15541407</v>
      </c>
      <c r="DB4" s="12">
        <v>76212</v>
      </c>
      <c r="DC4" s="11" t="s">
        <v>467</v>
      </c>
      <c r="DD4" s="12">
        <v>0</v>
      </c>
      <c r="DE4" s="12">
        <v>0</v>
      </c>
      <c r="DF4" s="12">
        <v>115920</v>
      </c>
      <c r="DG4" s="12">
        <v>16080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13653310</v>
      </c>
      <c r="DP4" s="12">
        <v>1893937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132000</v>
      </c>
      <c r="DW4" s="12">
        <v>15547247</v>
      </c>
      <c r="DX4" s="12">
        <v>76212</v>
      </c>
      <c r="DY4" s="11" t="s">
        <v>467</v>
      </c>
      <c r="DZ4" s="12">
        <v>0</v>
      </c>
      <c r="EA4" s="12">
        <v>0</v>
      </c>
      <c r="EB4" s="12">
        <v>132000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15547247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132000</v>
      </c>
      <c r="ES4" s="12">
        <v>15547247</v>
      </c>
      <c r="ET4" s="12">
        <v>76212</v>
      </c>
      <c r="EU4" s="11" t="s">
        <v>467</v>
      </c>
      <c r="EV4" s="12">
        <v>0</v>
      </c>
      <c r="EW4" s="12">
        <v>0</v>
      </c>
      <c r="EX4" s="12">
        <v>132000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15547247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132000</v>
      </c>
      <c r="FO4" s="12">
        <v>15547247</v>
      </c>
    </row>
    <row x14ac:dyDescent="0.25" r="5" customHeight="1" ht="18" customFormat="1" s="8">
      <c r="A5" s="9" t="s">
        <v>503</v>
      </c>
      <c r="B5" s="12">
        <v>0</v>
      </c>
      <c r="C5" s="10" t="s">
        <v>112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0" t="s">
        <v>112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0" t="s">
        <v>112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0" t="s">
        <v>112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1" t="s">
        <v>112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13776</v>
      </c>
      <c r="AS5" s="11" t="s">
        <v>504</v>
      </c>
      <c r="AT5" s="12">
        <v>0</v>
      </c>
      <c r="AU5" s="12">
        <v>0</v>
      </c>
      <c r="AV5" s="12">
        <v>0</v>
      </c>
      <c r="AW5" s="12">
        <v>0</v>
      </c>
      <c r="AX5" s="12">
        <v>5520</v>
      </c>
      <c r="AY5" s="12">
        <v>24480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607200</v>
      </c>
      <c r="BG5" s="12">
        <v>2203200</v>
      </c>
      <c r="BH5" s="12">
        <v>0</v>
      </c>
      <c r="BI5" s="12">
        <v>0</v>
      </c>
      <c r="BJ5" s="12">
        <v>30000</v>
      </c>
      <c r="BK5" s="12">
        <v>2810400</v>
      </c>
      <c r="BL5" s="12">
        <v>76200</v>
      </c>
      <c r="BM5" s="11" t="s">
        <v>466</v>
      </c>
      <c r="BN5" s="12">
        <v>100320</v>
      </c>
      <c r="BO5" s="12">
        <v>0</v>
      </c>
      <c r="BP5" s="12">
        <v>0</v>
      </c>
      <c r="BQ5" s="12">
        <v>0</v>
      </c>
      <c r="BR5" s="12">
        <v>68160</v>
      </c>
      <c r="BS5" s="12">
        <v>240</v>
      </c>
      <c r="BT5" s="12">
        <v>0</v>
      </c>
      <c r="BU5" s="12">
        <v>0</v>
      </c>
      <c r="BV5" s="12">
        <v>8025600</v>
      </c>
      <c r="BW5" s="12">
        <v>0</v>
      </c>
      <c r="BX5" s="12">
        <v>0</v>
      </c>
      <c r="BY5" s="12">
        <v>0</v>
      </c>
      <c r="BZ5" s="12">
        <v>7497600</v>
      </c>
      <c r="CA5" s="12">
        <v>21600</v>
      </c>
      <c r="CB5" s="12">
        <v>0</v>
      </c>
      <c r="CC5" s="12">
        <v>0</v>
      </c>
      <c r="CD5" s="12">
        <v>168720</v>
      </c>
      <c r="CE5" s="12">
        <v>15544800</v>
      </c>
      <c r="CF5" s="12">
        <v>76212</v>
      </c>
      <c r="CG5" s="11" t="s">
        <v>467</v>
      </c>
      <c r="CH5" s="12">
        <v>53520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34080</v>
      </c>
      <c r="CO5" s="12">
        <v>53760</v>
      </c>
      <c r="CP5" s="12">
        <v>4800</v>
      </c>
      <c r="CQ5" s="12">
        <v>4281600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3067200</v>
      </c>
      <c r="CX5" s="12">
        <v>7526400</v>
      </c>
      <c r="CY5" s="12">
        <v>672000</v>
      </c>
      <c r="CZ5" s="12">
        <v>146160</v>
      </c>
      <c r="DA5" s="12">
        <v>15547200</v>
      </c>
      <c r="DB5" s="12">
        <v>76178</v>
      </c>
      <c r="DC5" s="11" t="s">
        <v>485</v>
      </c>
      <c r="DD5" s="12">
        <v>0</v>
      </c>
      <c r="DE5" s="12">
        <v>39840</v>
      </c>
      <c r="DF5" s="12">
        <v>0</v>
      </c>
      <c r="DG5" s="12">
        <v>16320</v>
      </c>
      <c r="DH5" s="12">
        <v>0</v>
      </c>
      <c r="DI5" s="12">
        <v>0</v>
      </c>
      <c r="DJ5" s="12">
        <v>240</v>
      </c>
      <c r="DK5" s="12">
        <v>63600</v>
      </c>
      <c r="DL5" s="12">
        <v>0</v>
      </c>
      <c r="DM5" s="12">
        <v>0</v>
      </c>
      <c r="DN5" s="12">
        <v>4692442</v>
      </c>
      <c r="DO5" s="12">
        <v>0</v>
      </c>
      <c r="DP5" s="12">
        <v>1922205</v>
      </c>
      <c r="DQ5" s="12">
        <v>0</v>
      </c>
      <c r="DR5" s="12">
        <v>0</v>
      </c>
      <c r="DS5" s="12">
        <v>21600</v>
      </c>
      <c r="DT5" s="12">
        <v>8904000</v>
      </c>
      <c r="DU5" s="12">
        <v>0</v>
      </c>
      <c r="DV5" s="12">
        <v>120000</v>
      </c>
      <c r="DW5" s="12">
        <v>15540247</v>
      </c>
      <c r="DX5" s="12">
        <v>76212</v>
      </c>
      <c r="DY5" s="11" t="s">
        <v>467</v>
      </c>
      <c r="DZ5" s="12">
        <v>0</v>
      </c>
      <c r="EA5" s="12">
        <v>0</v>
      </c>
      <c r="EB5" s="12">
        <v>132000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15547247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132000</v>
      </c>
      <c r="ES5" s="12">
        <v>15547247</v>
      </c>
      <c r="ET5" s="12">
        <v>76207</v>
      </c>
      <c r="EU5" s="11" t="s">
        <v>109</v>
      </c>
      <c r="EV5" s="12">
        <v>0</v>
      </c>
      <c r="EW5" s="12">
        <v>49920</v>
      </c>
      <c r="EX5" s="12">
        <v>3840</v>
      </c>
      <c r="EY5" s="12">
        <v>42960</v>
      </c>
      <c r="EZ5" s="12">
        <v>0</v>
      </c>
      <c r="FA5" s="12">
        <v>0</v>
      </c>
      <c r="FB5" s="12">
        <v>240</v>
      </c>
      <c r="FC5" s="12">
        <v>29520</v>
      </c>
      <c r="FD5" s="12">
        <v>0</v>
      </c>
      <c r="FE5" s="12">
        <v>0</v>
      </c>
      <c r="FF5" s="12">
        <v>5879686</v>
      </c>
      <c r="FG5" s="12">
        <v>452283</v>
      </c>
      <c r="FH5" s="12">
        <v>5059922</v>
      </c>
      <c r="FI5" s="12">
        <v>0</v>
      </c>
      <c r="FJ5" s="12">
        <v>0</v>
      </c>
      <c r="FK5" s="12">
        <v>21600</v>
      </c>
      <c r="FL5" s="12">
        <v>4132800</v>
      </c>
      <c r="FM5" s="12">
        <v>0</v>
      </c>
      <c r="FN5" s="12">
        <v>126480</v>
      </c>
      <c r="FO5" s="12">
        <v>15546292</v>
      </c>
    </row>
    <row x14ac:dyDescent="0.25" r="6" customHeight="1" ht="18" customFormat="1" s="8">
      <c r="A6" s="9" t="s">
        <v>505</v>
      </c>
      <c r="B6" s="12">
        <v>0</v>
      </c>
      <c r="C6" s="10" t="s">
        <v>112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0" t="s">
        <v>112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0" t="s">
        <v>112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0" t="s">
        <v>112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1" t="s">
        <v>112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1" t="s">
        <v>112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38129</v>
      </c>
      <c r="BM6" s="11" t="s">
        <v>506</v>
      </c>
      <c r="BN6" s="12">
        <v>0</v>
      </c>
      <c r="BO6" s="12">
        <v>0</v>
      </c>
      <c r="BP6" s="12">
        <v>0</v>
      </c>
      <c r="BQ6" s="12">
        <v>0</v>
      </c>
      <c r="BR6" s="12">
        <v>27120</v>
      </c>
      <c r="BS6" s="12">
        <v>53280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2983200</v>
      </c>
      <c r="CA6" s="12">
        <v>4795200</v>
      </c>
      <c r="CB6" s="12">
        <v>0</v>
      </c>
      <c r="CC6" s="12">
        <v>0</v>
      </c>
      <c r="CD6" s="12">
        <v>80400</v>
      </c>
      <c r="CE6" s="12">
        <v>7778400</v>
      </c>
      <c r="CF6" s="12">
        <v>76141</v>
      </c>
      <c r="CG6" s="11" t="s">
        <v>299</v>
      </c>
      <c r="CH6" s="12">
        <v>85920</v>
      </c>
      <c r="CI6" s="12">
        <v>0</v>
      </c>
      <c r="CJ6" s="12">
        <v>0</v>
      </c>
      <c r="CK6" s="12">
        <v>0</v>
      </c>
      <c r="CL6" s="12">
        <v>78720</v>
      </c>
      <c r="CM6" s="12">
        <v>0</v>
      </c>
      <c r="CN6" s="12">
        <v>0</v>
      </c>
      <c r="CO6" s="12">
        <v>0</v>
      </c>
      <c r="CP6" s="12">
        <v>0</v>
      </c>
      <c r="CQ6" s="12">
        <v>6873600</v>
      </c>
      <c r="CR6" s="12">
        <v>0</v>
      </c>
      <c r="CS6" s="12">
        <v>0</v>
      </c>
      <c r="CT6" s="12">
        <v>0</v>
      </c>
      <c r="CU6" s="12">
        <v>8659200</v>
      </c>
      <c r="CV6" s="12">
        <v>0</v>
      </c>
      <c r="CW6" s="12">
        <v>0</v>
      </c>
      <c r="CX6" s="12">
        <v>0</v>
      </c>
      <c r="CY6" s="12">
        <v>0</v>
      </c>
      <c r="CZ6" s="12">
        <v>164640</v>
      </c>
      <c r="DA6" s="12">
        <v>15532800</v>
      </c>
      <c r="DB6" s="12">
        <v>76212</v>
      </c>
      <c r="DC6" s="11" t="s">
        <v>467</v>
      </c>
      <c r="DD6" s="12">
        <v>240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1920</v>
      </c>
      <c r="DK6" s="12">
        <v>89760</v>
      </c>
      <c r="DL6" s="12">
        <v>19920</v>
      </c>
      <c r="DM6" s="12">
        <v>19200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172800</v>
      </c>
      <c r="DT6" s="12">
        <v>12566400</v>
      </c>
      <c r="DU6" s="12">
        <v>2788800</v>
      </c>
      <c r="DV6" s="12">
        <v>111840</v>
      </c>
      <c r="DW6" s="12">
        <v>15547200</v>
      </c>
      <c r="DX6" s="12">
        <v>76212</v>
      </c>
      <c r="DY6" s="11" t="s">
        <v>467</v>
      </c>
      <c r="DZ6" s="12">
        <v>0</v>
      </c>
      <c r="EA6" s="12">
        <v>66000</v>
      </c>
      <c r="EB6" s="12">
        <v>12000</v>
      </c>
      <c r="EC6" s="12">
        <v>54000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7773623</v>
      </c>
      <c r="EK6" s="12">
        <v>1413386</v>
      </c>
      <c r="EL6" s="12">
        <v>6360237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132000</v>
      </c>
      <c r="ES6" s="12">
        <v>15547247</v>
      </c>
      <c r="ET6" s="12">
        <v>76200</v>
      </c>
      <c r="EU6" s="11" t="s">
        <v>466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240</v>
      </c>
      <c r="FC6" s="12">
        <v>110880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21600</v>
      </c>
      <c r="FL6" s="12">
        <v>15523200</v>
      </c>
      <c r="FM6" s="12">
        <v>0</v>
      </c>
      <c r="FN6" s="12">
        <v>111120</v>
      </c>
      <c r="FO6" s="12">
        <v>15544800</v>
      </c>
    </row>
    <row x14ac:dyDescent="0.25" r="7" customHeight="1" ht="18">
      <c r="A7" s="1"/>
      <c r="B7" s="13"/>
      <c r="C7" s="20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9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9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9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9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9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9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9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x14ac:dyDescent="0.25" r="8" customHeight="1" ht="18">
      <c r="A8" s="1"/>
      <c r="B8" s="13"/>
      <c r="C8" s="20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9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9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9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9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9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9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9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x14ac:dyDescent="0.25" r="9" customHeight="1" ht="18">
      <c r="A9" s="1" t="s">
        <v>130</v>
      </c>
      <c r="B9" s="13"/>
      <c r="C9" s="20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9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9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9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9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9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9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9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x14ac:dyDescent="0.25" r="10" customHeight="1" ht="18" customFormat="1" s="8">
      <c r="A10" s="9" t="s">
        <v>0</v>
      </c>
      <c r="B10" s="10" t="s">
        <v>5</v>
      </c>
      <c r="C10" s="10" t="s">
        <v>11</v>
      </c>
      <c r="D10" s="10" t="s">
        <v>17</v>
      </c>
      <c r="E10" s="10" t="s">
        <v>27</v>
      </c>
      <c r="F10" s="10" t="s">
        <v>37</v>
      </c>
      <c r="G10" s="10" t="s">
        <v>47</v>
      </c>
      <c r="H10" s="10" t="s">
        <v>57</v>
      </c>
      <c r="I10" s="10" t="s">
        <v>67</v>
      </c>
      <c r="J10" s="10" t="s">
        <v>77</v>
      </c>
      <c r="K10" s="10" t="s">
        <v>87</v>
      </c>
      <c r="L10" s="10" t="s">
        <v>97</v>
      </c>
      <c r="M10" s="10" t="s">
        <v>6</v>
      </c>
      <c r="N10" s="10" t="s">
        <v>12</v>
      </c>
      <c r="O10" s="10" t="s">
        <v>18</v>
      </c>
      <c r="P10" s="10" t="s">
        <v>28</v>
      </c>
      <c r="Q10" s="10" t="s">
        <v>38</v>
      </c>
      <c r="R10" s="10" t="s">
        <v>48</v>
      </c>
      <c r="S10" s="10" t="s">
        <v>58</v>
      </c>
      <c r="T10" s="10" t="s">
        <v>68</v>
      </c>
      <c r="U10" s="10" t="s">
        <v>78</v>
      </c>
      <c r="V10" s="10" t="s">
        <v>88</v>
      </c>
      <c r="W10" s="10" t="s">
        <v>98</v>
      </c>
      <c r="X10" s="10" t="s">
        <v>2</v>
      </c>
      <c r="Y10" s="10" t="s">
        <v>8</v>
      </c>
      <c r="Z10" s="10" t="s">
        <v>14</v>
      </c>
      <c r="AA10" s="10" t="s">
        <v>20</v>
      </c>
      <c r="AB10" s="10" t="s">
        <v>30</v>
      </c>
      <c r="AC10" s="10" t="s">
        <v>40</v>
      </c>
      <c r="AD10" s="10" t="s">
        <v>50</v>
      </c>
      <c r="AE10" s="11" t="s">
        <v>60</v>
      </c>
      <c r="AF10" s="10" t="s">
        <v>70</v>
      </c>
      <c r="AG10" s="10" t="s">
        <v>80</v>
      </c>
      <c r="AH10" s="10" t="s">
        <v>90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9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9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9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9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9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9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x14ac:dyDescent="0.25" r="11" customHeight="1" ht="18" customFormat="1" s="8">
      <c r="A11" s="9" t="s">
        <v>493</v>
      </c>
      <c r="B11" s="12">
        <v>53520</v>
      </c>
      <c r="C11" s="12">
        <v>34320</v>
      </c>
      <c r="D11" s="12">
        <v>6480</v>
      </c>
      <c r="E11" s="12">
        <v>132000</v>
      </c>
      <c r="F11" s="12">
        <v>132000</v>
      </c>
      <c r="G11" s="12">
        <v>132000</v>
      </c>
      <c r="H11" s="12">
        <v>132000</v>
      </c>
      <c r="I11" s="12">
        <v>132000</v>
      </c>
      <c r="J11" s="12">
        <v>132000</v>
      </c>
      <c r="K11" s="12">
        <v>132000</v>
      </c>
      <c r="L11" s="12">
        <v>132000</v>
      </c>
      <c r="M11" s="12">
        <v>6303702</v>
      </c>
      <c r="N11" s="12">
        <v>4042284</v>
      </c>
      <c r="O11" s="12">
        <v>763228</v>
      </c>
      <c r="P11" s="12">
        <v>15547247</v>
      </c>
      <c r="Q11" s="12">
        <v>15547247</v>
      </c>
      <c r="R11" s="12">
        <v>15547247</v>
      </c>
      <c r="S11" s="12">
        <v>15547247</v>
      </c>
      <c r="T11" s="12">
        <v>15547247</v>
      </c>
      <c r="U11" s="12">
        <v>15547247</v>
      </c>
      <c r="V11" s="12">
        <v>15547247</v>
      </c>
      <c r="W11" s="12">
        <v>15547247</v>
      </c>
      <c r="X11" s="10" t="s">
        <v>494</v>
      </c>
      <c r="Y11" s="10" t="s">
        <v>495</v>
      </c>
      <c r="Z11" s="10" t="s">
        <v>496</v>
      </c>
      <c r="AA11" s="10" t="s">
        <v>467</v>
      </c>
      <c r="AB11" s="10" t="s">
        <v>467</v>
      </c>
      <c r="AC11" s="10" t="s">
        <v>467</v>
      </c>
      <c r="AD11" s="10" t="s">
        <v>467</v>
      </c>
      <c r="AE11" s="11" t="s">
        <v>467</v>
      </c>
      <c r="AF11" s="10" t="s">
        <v>467</v>
      </c>
      <c r="AG11" s="10" t="s">
        <v>467</v>
      </c>
      <c r="AH11" s="10" t="s">
        <v>467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9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9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9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9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9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9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x14ac:dyDescent="0.25" r="12" customHeight="1" ht="18" customFormat="1" s="8">
      <c r="A12" s="9" t="s">
        <v>497</v>
      </c>
      <c r="B12" s="12">
        <v>0</v>
      </c>
      <c r="C12" s="12">
        <v>0</v>
      </c>
      <c r="D12" s="12">
        <v>0</v>
      </c>
      <c r="E12" s="12">
        <v>64800</v>
      </c>
      <c r="F12" s="12">
        <v>138480</v>
      </c>
      <c r="G12" s="12">
        <v>128400</v>
      </c>
      <c r="H12" s="12">
        <v>129120</v>
      </c>
      <c r="I12" s="12">
        <v>132000</v>
      </c>
      <c r="J12" s="12">
        <v>132000</v>
      </c>
      <c r="K12" s="12">
        <v>132000</v>
      </c>
      <c r="L12" s="12">
        <v>132000</v>
      </c>
      <c r="M12" s="12">
        <v>0</v>
      </c>
      <c r="N12" s="12">
        <v>0</v>
      </c>
      <c r="O12" s="12">
        <v>0</v>
      </c>
      <c r="P12" s="12">
        <v>7632285</v>
      </c>
      <c r="Q12" s="12">
        <v>15530481</v>
      </c>
      <c r="R12" s="12">
        <v>15539149</v>
      </c>
      <c r="S12" s="12">
        <v>15543968</v>
      </c>
      <c r="T12" s="12">
        <v>15547247</v>
      </c>
      <c r="U12" s="12">
        <v>15547247</v>
      </c>
      <c r="V12" s="12">
        <v>15547247</v>
      </c>
      <c r="W12" s="12">
        <v>15547247</v>
      </c>
      <c r="X12" s="10" t="s">
        <v>112</v>
      </c>
      <c r="Y12" s="10" t="s">
        <v>112</v>
      </c>
      <c r="Z12" s="10" t="s">
        <v>112</v>
      </c>
      <c r="AA12" s="10" t="s">
        <v>498</v>
      </c>
      <c r="AB12" s="10" t="s">
        <v>499</v>
      </c>
      <c r="AC12" s="10" t="s">
        <v>485</v>
      </c>
      <c r="AD12" s="10" t="s">
        <v>466</v>
      </c>
      <c r="AE12" s="11" t="s">
        <v>467</v>
      </c>
      <c r="AF12" s="10" t="s">
        <v>467</v>
      </c>
      <c r="AG12" s="10" t="s">
        <v>467</v>
      </c>
      <c r="AH12" s="10" t="s">
        <v>467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9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9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9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9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9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9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x14ac:dyDescent="0.25" r="13" customHeight="1" ht="18" customFormat="1" s="8">
      <c r="A13" s="9" t="s">
        <v>500</v>
      </c>
      <c r="B13" s="12">
        <v>0</v>
      </c>
      <c r="C13" s="12">
        <v>0</v>
      </c>
      <c r="D13" s="12">
        <v>0</v>
      </c>
      <c r="E13" s="12">
        <v>0</v>
      </c>
      <c r="F13" s="12">
        <v>8640</v>
      </c>
      <c r="G13" s="12">
        <v>143520</v>
      </c>
      <c r="H13" s="12">
        <v>131760</v>
      </c>
      <c r="I13" s="12">
        <v>123360</v>
      </c>
      <c r="J13" s="12">
        <v>132000</v>
      </c>
      <c r="K13" s="12">
        <v>132000</v>
      </c>
      <c r="L13" s="12">
        <v>132000</v>
      </c>
      <c r="M13" s="12">
        <v>0</v>
      </c>
      <c r="N13" s="12">
        <v>0</v>
      </c>
      <c r="O13" s="12">
        <v>0</v>
      </c>
      <c r="P13" s="12">
        <v>0</v>
      </c>
      <c r="Q13" s="12">
        <v>777600</v>
      </c>
      <c r="R13" s="12">
        <v>15542400</v>
      </c>
      <c r="S13" s="12">
        <v>15535200</v>
      </c>
      <c r="T13" s="12">
        <v>15541407</v>
      </c>
      <c r="U13" s="12">
        <v>15547247</v>
      </c>
      <c r="V13" s="12">
        <v>15547247</v>
      </c>
      <c r="W13" s="12">
        <v>15547247</v>
      </c>
      <c r="X13" s="10" t="s">
        <v>112</v>
      </c>
      <c r="Y13" s="10" t="s">
        <v>112</v>
      </c>
      <c r="Z13" s="10" t="s">
        <v>112</v>
      </c>
      <c r="AA13" s="10" t="s">
        <v>112</v>
      </c>
      <c r="AB13" s="10" t="s">
        <v>501</v>
      </c>
      <c r="AC13" s="10" t="s">
        <v>308</v>
      </c>
      <c r="AD13" s="10" t="s">
        <v>502</v>
      </c>
      <c r="AE13" s="11" t="s">
        <v>465</v>
      </c>
      <c r="AF13" s="10" t="s">
        <v>467</v>
      </c>
      <c r="AG13" s="10" t="s">
        <v>467</v>
      </c>
      <c r="AH13" s="10" t="s">
        <v>467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9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9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9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9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9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9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x14ac:dyDescent="0.25" r="14" customHeight="1" ht="18" customFormat="1" s="8">
      <c r="A14" s="9" t="s">
        <v>503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30000</v>
      </c>
      <c r="H14" s="12">
        <v>168720</v>
      </c>
      <c r="I14" s="12">
        <v>146160</v>
      </c>
      <c r="J14" s="12">
        <v>120000</v>
      </c>
      <c r="K14" s="12">
        <v>132000</v>
      </c>
      <c r="L14" s="12">
        <v>126480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2810400</v>
      </c>
      <c r="S14" s="12">
        <v>15544800</v>
      </c>
      <c r="T14" s="12">
        <v>15547200</v>
      </c>
      <c r="U14" s="12">
        <v>15540247</v>
      </c>
      <c r="V14" s="12">
        <v>15547247</v>
      </c>
      <c r="W14" s="12">
        <v>15546292</v>
      </c>
      <c r="X14" s="10" t="s">
        <v>112</v>
      </c>
      <c r="Y14" s="10" t="s">
        <v>112</v>
      </c>
      <c r="Z14" s="10" t="s">
        <v>112</v>
      </c>
      <c r="AA14" s="10" t="s">
        <v>112</v>
      </c>
      <c r="AB14" s="10" t="s">
        <v>112</v>
      </c>
      <c r="AC14" s="10" t="s">
        <v>504</v>
      </c>
      <c r="AD14" s="10" t="s">
        <v>466</v>
      </c>
      <c r="AE14" s="11" t="s">
        <v>467</v>
      </c>
      <c r="AF14" s="10" t="s">
        <v>485</v>
      </c>
      <c r="AG14" s="10" t="s">
        <v>467</v>
      </c>
      <c r="AH14" s="10" t="s">
        <v>109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9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9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9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9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9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9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x14ac:dyDescent="0.25" r="15" customHeight="1" ht="18" customFormat="1" s="8">
      <c r="A15" s="9" t="s">
        <v>505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80400</v>
      </c>
      <c r="I15" s="12">
        <v>164640</v>
      </c>
      <c r="J15" s="12">
        <v>111840</v>
      </c>
      <c r="K15" s="12">
        <v>132000</v>
      </c>
      <c r="L15" s="12">
        <v>111120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7778400</v>
      </c>
      <c r="T15" s="12">
        <v>15532800</v>
      </c>
      <c r="U15" s="12">
        <v>15547200</v>
      </c>
      <c r="V15" s="12">
        <v>15547247</v>
      </c>
      <c r="W15" s="12">
        <v>15544800</v>
      </c>
      <c r="X15" s="10" t="s">
        <v>112</v>
      </c>
      <c r="Y15" s="10" t="s">
        <v>112</v>
      </c>
      <c r="Z15" s="10" t="s">
        <v>112</v>
      </c>
      <c r="AA15" s="10" t="s">
        <v>112</v>
      </c>
      <c r="AB15" s="10" t="s">
        <v>112</v>
      </c>
      <c r="AC15" s="10" t="s">
        <v>112</v>
      </c>
      <c r="AD15" s="10" t="s">
        <v>506</v>
      </c>
      <c r="AE15" s="11" t="s">
        <v>299</v>
      </c>
      <c r="AF15" s="10" t="s">
        <v>467</v>
      </c>
      <c r="AG15" s="10" t="s">
        <v>467</v>
      </c>
      <c r="AH15" s="10" t="s">
        <v>466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9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9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9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9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9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9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x14ac:dyDescent="0.25" r="16" customHeight="1" ht="18">
      <c r="A16" s="1"/>
      <c r="B16" s="13"/>
      <c r="C16" s="20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9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9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9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9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9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9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9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x14ac:dyDescent="0.25" r="17" customHeight="1" ht="18">
      <c r="A17" s="1" t="s">
        <v>0</v>
      </c>
      <c r="B17" s="13"/>
      <c r="C17" s="20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9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9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9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9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9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9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9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x14ac:dyDescent="0.25" r="18" customHeight="1" ht="18" customFormat="1" s="8">
      <c r="A18" s="9" t="s">
        <v>493</v>
      </c>
      <c r="B18" s="13"/>
      <c r="C18" s="18">
        <f>IFERROR(N11/C11,0)</f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9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9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9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9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9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9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9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x14ac:dyDescent="0.25" r="19" customHeight="1" ht="18" customFormat="1" s="8">
      <c r="A19" s="9" t="s">
        <v>497</v>
      </c>
      <c r="B19" s="13"/>
      <c r="C19" s="12">
        <f>IFERROR(N12/C12,0)</f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9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9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9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9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9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9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9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x14ac:dyDescent="0.25" r="20" customHeight="1" ht="18" customFormat="1" s="8">
      <c r="A20" s="9" t="s">
        <v>500</v>
      </c>
      <c r="B20" s="13"/>
      <c r="C20" s="12">
        <f>IFERROR(N13/C13,0)</f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9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9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9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9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9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9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9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x14ac:dyDescent="0.25" r="21" customHeight="1" ht="18" customFormat="1" s="8">
      <c r="A21" s="9" t="s">
        <v>503</v>
      </c>
      <c r="B21" s="13"/>
      <c r="C21" s="12">
        <f>IFERROR(N14/C14,0)</f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9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9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9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9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9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9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9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x14ac:dyDescent="0.25" r="22" customHeight="1" ht="18" customFormat="1" s="8">
      <c r="A22" s="9" t="s">
        <v>505</v>
      </c>
      <c r="B22" s="13"/>
      <c r="C22" s="12">
        <f>IFERROR(N15/C15,0)</f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9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9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9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9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9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9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9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U23"/>
  <sheetViews>
    <sheetView workbookViewId="0"/>
  </sheetViews>
  <sheetFormatPr defaultRowHeight="15" x14ac:dyDescent="0.25"/>
  <cols>
    <col min="1" max="1" style="5" width="18.005" customWidth="1" bestFit="1"/>
    <col min="2" max="2" style="14" width="9.862142857142858" customWidth="1" bestFit="1"/>
    <col min="3" max="3" style="19" width="9.862142857142858" customWidth="1" bestFit="1"/>
    <col min="4" max="4" style="14" width="9.862142857142858" customWidth="1" bestFit="1"/>
    <col min="5" max="5" style="14" width="9.862142857142858" customWidth="1" bestFit="1"/>
    <col min="6" max="6" style="14" width="9.862142857142858" customWidth="1" bestFit="1"/>
    <col min="7" max="7" style="14" width="9.862142857142858" customWidth="1" bestFit="1"/>
    <col min="8" max="8" style="14" width="9.862142857142858" customWidth="1" bestFit="1"/>
    <col min="9" max="9" style="14" width="9.862142857142858" customWidth="1" bestFit="1"/>
    <col min="10" max="10" style="14" width="9.862142857142858" customWidth="1" bestFit="1"/>
    <col min="11" max="11" style="14" width="9.862142857142858" customWidth="1" bestFit="1"/>
    <col min="12" max="12" style="14" width="9.862142857142858" customWidth="1" bestFit="1"/>
    <col min="13" max="13" style="14" width="9.862142857142858" customWidth="1" bestFit="1"/>
    <col min="14" max="14" style="14" width="9.862142857142858" customWidth="1" bestFit="1"/>
    <col min="15" max="15" style="14" width="9.862142857142858" customWidth="1" bestFit="1"/>
    <col min="16" max="16" style="14" width="9.862142857142858" customWidth="1" bestFit="1"/>
    <col min="17" max="17" style="14" width="9.862142857142858" customWidth="1" bestFit="1"/>
    <col min="18" max="18" style="14" width="9.862142857142858" customWidth="1" bestFit="1"/>
    <col min="19" max="19" style="14" width="9.862142857142858" customWidth="1" bestFit="1"/>
    <col min="20" max="20" style="14" width="9.862142857142858" customWidth="1" bestFit="1"/>
    <col min="21" max="21" style="14" width="9.862142857142858" customWidth="1" bestFit="1"/>
    <col min="22" max="22" style="14" width="9.862142857142858" customWidth="1" bestFit="1"/>
    <col min="23" max="23" style="14" width="9.862142857142858" customWidth="1" bestFit="1"/>
    <col min="24" max="24" style="14" width="9.862142857142858" customWidth="1" bestFit="1"/>
    <col min="25" max="25" style="14" width="9.862142857142858" customWidth="1" bestFit="1"/>
    <col min="26" max="26" style="14" width="9.862142857142858" customWidth="1" bestFit="1"/>
    <col min="27" max="27" style="14" width="9.862142857142858" customWidth="1" bestFit="1"/>
    <col min="28" max="28" style="14" width="9.862142857142858" customWidth="1" bestFit="1"/>
    <col min="29" max="29" style="14" width="9.862142857142858" customWidth="1" bestFit="1"/>
    <col min="30" max="30" style="14" width="9.862142857142858" customWidth="1" bestFit="1"/>
    <col min="31" max="31" style="14" width="9.862142857142858" customWidth="1" bestFit="1"/>
    <col min="32" max="32" style="14" width="9.862142857142858" customWidth="1" bestFit="1"/>
    <col min="33" max="33" style="15" width="9.862142857142858" customWidth="1" bestFit="1"/>
    <col min="34" max="34" style="14" width="9.862142857142858" customWidth="1" bestFit="1"/>
    <col min="35" max="35" style="14" width="9.862142857142858" customWidth="1" bestFit="1"/>
    <col min="36" max="36" style="14" width="9.862142857142858" customWidth="1" bestFit="1"/>
    <col min="37" max="37" style="14" width="9.862142857142858" customWidth="1" bestFit="1"/>
    <col min="38" max="38" style="14" width="9.862142857142858" customWidth="1" bestFit="1"/>
    <col min="39" max="39" style="14" width="9.862142857142858" customWidth="1" bestFit="1"/>
    <col min="40" max="40" style="14" width="9.862142857142858" customWidth="1" bestFit="1"/>
    <col min="41" max="41" style="14" width="9.862142857142858" customWidth="1" bestFit="1"/>
    <col min="42" max="42" style="14" width="9.862142857142858" customWidth="1" bestFit="1"/>
    <col min="43" max="43" style="14" width="9.862142857142858" customWidth="1" bestFit="1"/>
    <col min="44" max="44" style="14" width="9.862142857142858" customWidth="1" bestFit="1"/>
    <col min="45" max="45" style="14" width="9.862142857142858" customWidth="1" bestFit="1"/>
    <col min="46" max="46" style="14" width="9.862142857142858" customWidth="1" bestFit="1"/>
    <col min="47" max="47" style="14" width="9.862142857142858" customWidth="1" bestFit="1"/>
    <col min="48" max="48" style="14" width="9.862142857142858" customWidth="1" bestFit="1"/>
    <col min="49" max="49" style="15" width="9.862142857142858" customWidth="1" bestFit="1"/>
    <col min="50" max="50" style="14" width="9.862142857142858" customWidth="1" bestFit="1"/>
    <col min="51" max="51" style="14" width="9.862142857142858" customWidth="1" bestFit="1"/>
    <col min="52" max="52" style="14" width="9.862142857142858" customWidth="1" bestFit="1"/>
    <col min="53" max="53" style="14" width="9.862142857142858" customWidth="1" bestFit="1"/>
    <col min="54" max="54" style="14" width="9.862142857142858" customWidth="1" bestFit="1"/>
    <col min="55" max="55" style="14" width="9.862142857142858" customWidth="1" bestFit="1"/>
    <col min="56" max="56" style="14" width="9.862142857142858" customWidth="1" bestFit="1"/>
    <col min="57" max="57" style="14" width="9.862142857142858" customWidth="1" bestFit="1"/>
    <col min="58" max="58" style="14" width="9.862142857142858" customWidth="1" bestFit="1"/>
    <col min="59" max="59" style="14" width="9.862142857142858" customWidth="1" bestFit="1"/>
    <col min="60" max="60" style="14" width="9.862142857142858" customWidth="1" bestFit="1"/>
    <col min="61" max="61" style="14" width="9.862142857142858" customWidth="1" bestFit="1"/>
    <col min="62" max="62" style="14" width="9.862142857142858" customWidth="1" bestFit="1"/>
    <col min="63" max="63" style="14" width="9.862142857142858" customWidth="1" bestFit="1"/>
    <col min="64" max="64" style="14" width="9.862142857142858" customWidth="1" bestFit="1"/>
    <col min="65" max="65" style="14" width="9.862142857142858" customWidth="1" bestFit="1"/>
    <col min="66" max="66" style="14" width="9.862142857142858" customWidth="1" bestFit="1"/>
    <col min="67" max="67" style="14" width="9.862142857142858" customWidth="1" bestFit="1"/>
    <col min="68" max="68" style="14" width="9.862142857142858" customWidth="1" bestFit="1"/>
    <col min="69" max="69" style="14" width="9.862142857142858" customWidth="1" bestFit="1"/>
    <col min="70" max="70" style="14" width="9.862142857142858" customWidth="1" bestFit="1"/>
    <col min="71" max="71" style="15" width="9.862142857142858" customWidth="1" bestFit="1"/>
    <col min="72" max="72" style="14" width="9.862142857142858" customWidth="1" bestFit="1"/>
    <col min="73" max="73" style="14" width="9.862142857142858" customWidth="1" bestFit="1"/>
    <col min="74" max="74" style="14" width="9.862142857142858" customWidth="1" bestFit="1"/>
    <col min="75" max="75" style="14" width="9.862142857142858" customWidth="1" bestFit="1"/>
    <col min="76" max="76" style="14" width="9.862142857142858" customWidth="1" bestFit="1"/>
    <col min="77" max="77" style="14" width="9.862142857142858" customWidth="1" bestFit="1"/>
    <col min="78" max="78" style="14" width="9.862142857142858" customWidth="1" bestFit="1"/>
    <col min="79" max="79" style="14" width="9.862142857142858" customWidth="1" bestFit="1"/>
    <col min="80" max="80" style="14" width="9.862142857142858" customWidth="1" bestFit="1"/>
    <col min="81" max="81" style="14" width="9.862142857142858" customWidth="1" bestFit="1"/>
    <col min="82" max="82" style="14" width="9.862142857142858" customWidth="1" bestFit="1"/>
    <col min="83" max="83" style="14" width="9.862142857142858" customWidth="1" bestFit="1"/>
    <col min="84" max="84" style="14" width="9.862142857142858" customWidth="1" bestFit="1"/>
    <col min="85" max="85" style="14" width="9.862142857142858" customWidth="1" bestFit="1"/>
    <col min="86" max="86" style="14" width="9.862142857142858" customWidth="1" bestFit="1"/>
    <col min="87" max="87" style="14" width="9.862142857142858" customWidth="1" bestFit="1"/>
    <col min="88" max="88" style="14" width="9.862142857142858" customWidth="1" bestFit="1"/>
    <col min="89" max="89" style="14" width="9.862142857142858" customWidth="1" bestFit="1"/>
    <col min="90" max="90" style="14" width="9.862142857142858" customWidth="1" bestFit="1"/>
    <col min="91" max="91" style="15" width="9.862142857142858" customWidth="1" bestFit="1"/>
    <col min="92" max="92" style="14" width="9.862142857142858" customWidth="1" bestFit="1"/>
    <col min="93" max="93" style="14" width="9.862142857142858" customWidth="1" bestFit="1"/>
    <col min="94" max="94" style="14" width="9.862142857142858" customWidth="1" bestFit="1"/>
    <col min="95" max="95" style="14" width="9.862142857142858" customWidth="1" bestFit="1"/>
    <col min="96" max="96" style="14" width="9.862142857142858" customWidth="1" bestFit="1"/>
    <col min="97" max="97" style="14" width="9.862142857142858" customWidth="1" bestFit="1"/>
    <col min="98" max="98" style="14" width="9.862142857142858" customWidth="1" bestFit="1"/>
    <col min="99" max="99" style="14" width="9.862142857142858" customWidth="1" bestFit="1"/>
    <col min="100" max="100" style="14" width="9.862142857142858" customWidth="1" bestFit="1"/>
    <col min="101" max="101" style="14" width="9.862142857142858" customWidth="1" bestFit="1"/>
    <col min="102" max="102" style="14" width="9.862142857142858" customWidth="1" bestFit="1"/>
    <col min="103" max="103" style="14" width="9.862142857142858" customWidth="1" bestFit="1"/>
    <col min="104" max="104" style="14" width="9.862142857142858" customWidth="1" bestFit="1"/>
    <col min="105" max="105" style="14" width="9.862142857142858" customWidth="1" bestFit="1"/>
    <col min="106" max="106" style="14" width="9.862142857142858" customWidth="1" bestFit="1"/>
    <col min="107" max="107" style="14" width="9.862142857142858" customWidth="1" bestFit="1"/>
    <col min="108" max="108" style="14" width="9.862142857142858" customWidth="1" bestFit="1"/>
    <col min="109" max="109" style="14" width="9.862142857142858" customWidth="1" bestFit="1"/>
    <col min="110" max="110" style="14" width="9.862142857142858" customWidth="1" bestFit="1"/>
    <col min="111" max="111" style="14" width="9.862142857142858" customWidth="1" bestFit="1"/>
    <col min="112" max="112" style="14" width="9.862142857142858" customWidth="1" bestFit="1"/>
    <col min="113" max="113" style="15" width="9.862142857142858" customWidth="1" bestFit="1"/>
    <col min="114" max="114" style="14" width="9.862142857142858" customWidth="1" bestFit="1"/>
    <col min="115" max="115" style="14" width="9.862142857142858" customWidth="1" bestFit="1"/>
    <col min="116" max="116" style="14" width="9.862142857142858" customWidth="1" bestFit="1"/>
    <col min="117" max="117" style="14" width="9.862142857142858" customWidth="1" bestFit="1"/>
    <col min="118" max="118" style="14" width="9.862142857142858" customWidth="1" bestFit="1"/>
    <col min="119" max="119" style="14" width="9.862142857142858" customWidth="1" bestFit="1"/>
    <col min="120" max="120" style="14" width="9.862142857142858" customWidth="1" bestFit="1"/>
    <col min="121" max="121" style="14" width="9.862142857142858" customWidth="1" bestFit="1"/>
    <col min="122" max="122" style="14" width="9.862142857142858" customWidth="1" bestFit="1"/>
    <col min="123" max="123" style="14" width="9.862142857142858" customWidth="1" bestFit="1"/>
    <col min="124" max="124" style="14" width="9.862142857142858" customWidth="1" bestFit="1"/>
    <col min="125" max="125" style="14" width="9.862142857142858" customWidth="1" bestFit="1"/>
    <col min="126" max="126" style="14" width="9.862142857142858" customWidth="1" bestFit="1"/>
    <col min="127" max="127" style="14" width="9.862142857142858" customWidth="1" bestFit="1"/>
    <col min="128" max="128" style="14" width="9.862142857142858" customWidth="1" bestFit="1"/>
    <col min="129" max="129" style="14" width="9.862142857142858" customWidth="1" bestFit="1"/>
    <col min="130" max="130" style="14" width="9.862142857142858" customWidth="1" bestFit="1"/>
    <col min="131" max="131" style="14" width="9.862142857142858" customWidth="1" bestFit="1"/>
    <col min="132" max="132" style="14" width="9.862142857142858" customWidth="1" bestFit="1"/>
    <col min="133" max="133" style="14" width="9.862142857142858" customWidth="1" bestFit="1"/>
    <col min="134" max="134" style="14" width="9.862142857142858" customWidth="1" bestFit="1"/>
    <col min="135" max="135" style="15" width="9.862142857142858" customWidth="1" bestFit="1"/>
    <col min="136" max="136" style="14" width="9.862142857142858" customWidth="1" bestFit="1"/>
    <col min="137" max="137" style="14" width="9.862142857142858" customWidth="1" bestFit="1"/>
    <col min="138" max="138" style="14" width="9.862142857142858" customWidth="1" bestFit="1"/>
    <col min="139" max="139" style="14" width="9.862142857142858" customWidth="1" bestFit="1"/>
    <col min="140" max="140" style="14" width="9.862142857142858" customWidth="1" bestFit="1"/>
    <col min="141" max="141" style="14" width="9.862142857142858" customWidth="1" bestFit="1"/>
    <col min="142" max="142" style="14" width="9.862142857142858" customWidth="1" bestFit="1"/>
    <col min="143" max="143" style="14" width="9.862142857142858" customWidth="1" bestFit="1"/>
    <col min="144" max="144" style="14" width="9.862142857142858" customWidth="1" bestFit="1"/>
    <col min="145" max="145" style="14" width="9.862142857142858" customWidth="1" bestFit="1"/>
    <col min="146" max="146" style="14" width="9.862142857142858" customWidth="1" bestFit="1"/>
    <col min="147" max="147" style="14" width="9.862142857142858" customWidth="1" bestFit="1"/>
    <col min="148" max="148" style="14" width="9.862142857142858" customWidth="1" bestFit="1"/>
    <col min="149" max="149" style="14" width="9.862142857142858" customWidth="1" bestFit="1"/>
    <col min="150" max="150" style="14" width="9.862142857142858" customWidth="1" bestFit="1"/>
    <col min="151" max="151" style="14" width="9.862142857142858" customWidth="1" bestFit="1"/>
    <col min="152" max="152" style="14" width="9.862142857142858" customWidth="1" bestFit="1"/>
    <col min="153" max="153" style="14" width="9.862142857142858" customWidth="1" bestFit="1"/>
    <col min="154" max="154" style="14" width="9.862142857142858" customWidth="1" bestFit="1"/>
    <col min="155" max="155" style="14" width="9.862142857142858" customWidth="1" bestFit="1"/>
    <col min="156" max="156" style="14" width="9.862142857142858" customWidth="1" bestFit="1"/>
    <col min="157" max="157" style="15" width="9.862142857142858" customWidth="1" bestFit="1"/>
    <col min="158" max="158" style="14" width="9.862142857142858" customWidth="1" bestFit="1"/>
    <col min="159" max="159" style="14" width="9.862142857142858" customWidth="1" bestFit="1"/>
    <col min="160" max="160" style="14" width="9.862142857142858" customWidth="1" bestFit="1"/>
    <col min="161" max="161" style="14" width="9.862142857142858" customWidth="1" bestFit="1"/>
    <col min="162" max="162" style="14" width="9.862142857142858" customWidth="1" bestFit="1"/>
    <col min="163" max="163" style="14" width="9.862142857142858" customWidth="1" bestFit="1"/>
    <col min="164" max="164" style="14" width="9.862142857142858" customWidth="1" bestFit="1"/>
    <col min="165" max="165" style="14" width="9.862142857142858" customWidth="1" bestFit="1"/>
    <col min="166" max="166" style="14" width="9.862142857142858" customWidth="1" bestFit="1"/>
    <col min="167" max="167" style="14" width="9.862142857142858" customWidth="1" bestFit="1"/>
    <col min="168" max="168" style="14" width="9.862142857142858" customWidth="1" bestFit="1"/>
    <col min="169" max="169" style="14" width="9.862142857142858" customWidth="1" bestFit="1"/>
    <col min="170" max="170" style="14" width="9.862142857142858" customWidth="1" bestFit="1"/>
    <col min="171" max="171" style="14" width="9.862142857142858" customWidth="1" bestFit="1"/>
    <col min="172" max="172" style="14" width="9.862142857142858" customWidth="1" bestFit="1"/>
    <col min="173" max="173" style="14" width="9.862142857142858" customWidth="1" bestFit="1"/>
    <col min="174" max="174" style="14" width="9.862142857142858" customWidth="1" bestFit="1"/>
    <col min="175" max="175" style="14" width="9.862142857142858" customWidth="1" bestFit="1"/>
    <col min="176" max="176" style="14" width="9.862142857142858" customWidth="1" bestFit="1"/>
    <col min="177" max="177" style="14" width="9.862142857142858" customWidth="1" bestFit="1"/>
  </cols>
  <sheetData>
    <row x14ac:dyDescent="0.25" r="1" customHeight="1" ht="18" customFormat="1" s="8">
      <c r="A1" s="9" t="s">
        <v>0</v>
      </c>
      <c r="B1" s="10" t="s">
        <v>1</v>
      </c>
      <c r="C1" s="16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358</v>
      </c>
      <c r="W1" s="10" t="s">
        <v>21</v>
      </c>
      <c r="X1" s="10" t="s">
        <v>23</v>
      </c>
      <c r="Y1" s="10" t="s">
        <v>22</v>
      </c>
      <c r="Z1" s="10" t="s">
        <v>362</v>
      </c>
      <c r="AA1" s="10" t="s">
        <v>24</v>
      </c>
      <c r="AB1" s="10" t="s">
        <v>26</v>
      </c>
      <c r="AC1" s="10" t="s">
        <v>25</v>
      </c>
      <c r="AD1" s="10" t="s">
        <v>27</v>
      </c>
      <c r="AE1" s="10" t="s">
        <v>28</v>
      </c>
      <c r="AF1" s="10" t="s">
        <v>29</v>
      </c>
      <c r="AG1" s="11" t="s">
        <v>30</v>
      </c>
      <c r="AH1" s="10" t="s">
        <v>364</v>
      </c>
      <c r="AI1" s="10" t="s">
        <v>368</v>
      </c>
      <c r="AJ1" s="10" t="s">
        <v>367</v>
      </c>
      <c r="AK1" s="10" t="s">
        <v>31</v>
      </c>
      <c r="AL1" s="10" t="s">
        <v>33</v>
      </c>
      <c r="AM1" s="10" t="s">
        <v>32</v>
      </c>
      <c r="AN1" s="10" t="s">
        <v>370</v>
      </c>
      <c r="AO1" s="10" t="s">
        <v>374</v>
      </c>
      <c r="AP1" s="10" t="s">
        <v>373</v>
      </c>
      <c r="AQ1" s="10" t="s">
        <v>34</v>
      </c>
      <c r="AR1" s="10" t="s">
        <v>36</v>
      </c>
      <c r="AS1" s="10" t="s">
        <v>35</v>
      </c>
      <c r="AT1" s="10" t="s">
        <v>37</v>
      </c>
      <c r="AU1" s="10" t="s">
        <v>38</v>
      </c>
      <c r="AV1" s="10" t="s">
        <v>39</v>
      </c>
      <c r="AW1" s="11" t="s">
        <v>40</v>
      </c>
      <c r="AX1" s="10" t="s">
        <v>375</v>
      </c>
      <c r="AY1" s="10" t="s">
        <v>377</v>
      </c>
      <c r="AZ1" s="10" t="s">
        <v>382</v>
      </c>
      <c r="BA1" s="10" t="s">
        <v>380</v>
      </c>
      <c r="BB1" s="10" t="s">
        <v>381</v>
      </c>
      <c r="BC1" s="10" t="s">
        <v>41</v>
      </c>
      <c r="BD1" s="10" t="s">
        <v>43</v>
      </c>
      <c r="BE1" s="10" t="s">
        <v>42</v>
      </c>
      <c r="BF1" s="10" t="s">
        <v>383</v>
      </c>
      <c r="BG1" s="10" t="s">
        <v>384</v>
      </c>
      <c r="BH1" s="10" t="s">
        <v>386</v>
      </c>
      <c r="BI1" s="10" t="s">
        <v>391</v>
      </c>
      <c r="BJ1" s="10" t="s">
        <v>389</v>
      </c>
      <c r="BK1" s="10" t="s">
        <v>390</v>
      </c>
      <c r="BL1" s="10" t="s">
        <v>44</v>
      </c>
      <c r="BM1" s="10" t="s">
        <v>46</v>
      </c>
      <c r="BN1" s="10" t="s">
        <v>45</v>
      </c>
      <c r="BO1" s="10" t="s">
        <v>392</v>
      </c>
      <c r="BP1" s="10" t="s">
        <v>47</v>
      </c>
      <c r="BQ1" s="10" t="s">
        <v>48</v>
      </c>
      <c r="BR1" s="10" t="s">
        <v>49</v>
      </c>
      <c r="BS1" s="11" t="s">
        <v>50</v>
      </c>
      <c r="BT1" s="10" t="s">
        <v>393</v>
      </c>
      <c r="BU1" s="10" t="s">
        <v>394</v>
      </c>
      <c r="BV1" s="10" t="s">
        <v>397</v>
      </c>
      <c r="BW1" s="10" t="s">
        <v>396</v>
      </c>
      <c r="BX1" s="10" t="s">
        <v>51</v>
      </c>
      <c r="BY1" s="10" t="s">
        <v>53</v>
      </c>
      <c r="BZ1" s="10" t="s">
        <v>52</v>
      </c>
      <c r="CA1" s="10" t="s">
        <v>398</v>
      </c>
      <c r="CB1" s="10" t="s">
        <v>399</v>
      </c>
      <c r="CC1" s="10" t="s">
        <v>400</v>
      </c>
      <c r="CD1" s="10" t="s">
        <v>403</v>
      </c>
      <c r="CE1" s="10" t="s">
        <v>402</v>
      </c>
      <c r="CF1" s="10" t="s">
        <v>54</v>
      </c>
      <c r="CG1" s="10" t="s">
        <v>56</v>
      </c>
      <c r="CH1" s="10" t="s">
        <v>55</v>
      </c>
      <c r="CI1" s="10" t="s">
        <v>404</v>
      </c>
      <c r="CJ1" s="10" t="s">
        <v>57</v>
      </c>
      <c r="CK1" s="10" t="s">
        <v>58</v>
      </c>
      <c r="CL1" s="10" t="s">
        <v>59</v>
      </c>
      <c r="CM1" s="11" t="s">
        <v>60</v>
      </c>
      <c r="CN1" s="10" t="s">
        <v>405</v>
      </c>
      <c r="CO1" s="10" t="s">
        <v>406</v>
      </c>
      <c r="CP1" s="10" t="s">
        <v>409</v>
      </c>
      <c r="CQ1" s="10" t="s">
        <v>408</v>
      </c>
      <c r="CR1" s="10" t="s">
        <v>61</v>
      </c>
      <c r="CS1" s="10" t="s">
        <v>63</v>
      </c>
      <c r="CT1" s="10" t="s">
        <v>62</v>
      </c>
      <c r="CU1" s="10" t="s">
        <v>410</v>
      </c>
      <c r="CV1" s="10" t="s">
        <v>411</v>
      </c>
      <c r="CW1" s="10" t="s">
        <v>412</v>
      </c>
      <c r="CX1" s="10" t="s">
        <v>413</v>
      </c>
      <c r="CY1" s="10" t="s">
        <v>416</v>
      </c>
      <c r="CZ1" s="10" t="s">
        <v>415</v>
      </c>
      <c r="DA1" s="10" t="s">
        <v>64</v>
      </c>
      <c r="DB1" s="10" t="s">
        <v>66</v>
      </c>
      <c r="DC1" s="10" t="s">
        <v>65</v>
      </c>
      <c r="DD1" s="10" t="s">
        <v>417</v>
      </c>
      <c r="DE1" s="10" t="s">
        <v>418</v>
      </c>
      <c r="DF1" s="10" t="s">
        <v>67</v>
      </c>
      <c r="DG1" s="10" t="s">
        <v>68</v>
      </c>
      <c r="DH1" s="10" t="s">
        <v>69</v>
      </c>
      <c r="DI1" s="11" t="s">
        <v>70</v>
      </c>
      <c r="DJ1" s="10" t="s">
        <v>419</v>
      </c>
      <c r="DK1" s="10" t="s">
        <v>420</v>
      </c>
      <c r="DL1" s="10" t="s">
        <v>423</v>
      </c>
      <c r="DM1" s="10" t="s">
        <v>422</v>
      </c>
      <c r="DN1" s="10" t="s">
        <v>71</v>
      </c>
      <c r="DO1" s="10" t="s">
        <v>73</v>
      </c>
      <c r="DP1" s="10" t="s">
        <v>72</v>
      </c>
      <c r="DQ1" s="10" t="s">
        <v>424</v>
      </c>
      <c r="DR1" s="10" t="s">
        <v>425</v>
      </c>
      <c r="DS1" s="10" t="s">
        <v>426</v>
      </c>
      <c r="DT1" s="10" t="s">
        <v>427</v>
      </c>
      <c r="DU1" s="10" t="s">
        <v>430</v>
      </c>
      <c r="DV1" s="10" t="s">
        <v>429</v>
      </c>
      <c r="DW1" s="10" t="s">
        <v>74</v>
      </c>
      <c r="DX1" s="10" t="s">
        <v>76</v>
      </c>
      <c r="DY1" s="10" t="s">
        <v>75</v>
      </c>
      <c r="DZ1" s="10" t="s">
        <v>431</v>
      </c>
      <c r="EA1" s="10" t="s">
        <v>432</v>
      </c>
      <c r="EB1" s="10" t="s">
        <v>77</v>
      </c>
      <c r="EC1" s="10" t="s">
        <v>78</v>
      </c>
      <c r="ED1" s="10" t="s">
        <v>79</v>
      </c>
      <c r="EE1" s="11" t="s">
        <v>80</v>
      </c>
      <c r="EF1" s="10" t="s">
        <v>433</v>
      </c>
      <c r="EG1" s="10" t="s">
        <v>434</v>
      </c>
      <c r="EH1" s="10" t="s">
        <v>437</v>
      </c>
      <c r="EI1" s="10" t="s">
        <v>436</v>
      </c>
      <c r="EJ1" s="10" t="s">
        <v>81</v>
      </c>
      <c r="EK1" s="10" t="s">
        <v>83</v>
      </c>
      <c r="EL1" s="10" t="s">
        <v>82</v>
      </c>
      <c r="EM1" s="10" t="s">
        <v>438</v>
      </c>
      <c r="EN1" s="10" t="s">
        <v>439</v>
      </c>
      <c r="EO1" s="10" t="s">
        <v>440</v>
      </c>
      <c r="EP1" s="10" t="s">
        <v>441</v>
      </c>
      <c r="EQ1" s="10" t="s">
        <v>444</v>
      </c>
      <c r="ER1" s="10" t="s">
        <v>443</v>
      </c>
      <c r="ES1" s="10" t="s">
        <v>84</v>
      </c>
      <c r="ET1" s="10" t="s">
        <v>86</v>
      </c>
      <c r="EU1" s="10" t="s">
        <v>85</v>
      </c>
      <c r="EV1" s="10" t="s">
        <v>445</v>
      </c>
      <c r="EW1" s="10" t="s">
        <v>446</v>
      </c>
      <c r="EX1" s="10" t="s">
        <v>87</v>
      </c>
      <c r="EY1" s="10" t="s">
        <v>88</v>
      </c>
      <c r="EZ1" s="10" t="s">
        <v>89</v>
      </c>
      <c r="FA1" s="11" t="s">
        <v>90</v>
      </c>
      <c r="FB1" s="10" t="s">
        <v>447</v>
      </c>
      <c r="FC1" s="10" t="s">
        <v>448</v>
      </c>
      <c r="FD1" s="10" t="s">
        <v>451</v>
      </c>
      <c r="FE1" s="10" t="s">
        <v>450</v>
      </c>
      <c r="FF1" s="10" t="s">
        <v>91</v>
      </c>
      <c r="FG1" s="10" t="s">
        <v>93</v>
      </c>
      <c r="FH1" s="10" t="s">
        <v>92</v>
      </c>
      <c r="FI1" s="10" t="s">
        <v>452</v>
      </c>
      <c r="FJ1" s="10" t="s">
        <v>453</v>
      </c>
      <c r="FK1" s="10" t="s">
        <v>454</v>
      </c>
      <c r="FL1" s="10" t="s">
        <v>455</v>
      </c>
      <c r="FM1" s="10" t="s">
        <v>458</v>
      </c>
      <c r="FN1" s="10" t="s">
        <v>457</v>
      </c>
      <c r="FO1" s="10" t="s">
        <v>94</v>
      </c>
      <c r="FP1" s="10" t="s">
        <v>96</v>
      </c>
      <c r="FQ1" s="10" t="s">
        <v>95</v>
      </c>
      <c r="FR1" s="10" t="s">
        <v>459</v>
      </c>
      <c r="FS1" s="10" t="s">
        <v>460</v>
      </c>
      <c r="FT1" s="10" t="s">
        <v>97</v>
      </c>
      <c r="FU1" s="10" t="s">
        <v>98</v>
      </c>
    </row>
    <row x14ac:dyDescent="0.25" r="2" customHeight="1" ht="18" customFormat="1" s="8">
      <c r="A2" s="9" t="s">
        <v>477</v>
      </c>
      <c r="B2" s="12">
        <v>18884</v>
      </c>
      <c r="C2" s="16" t="s">
        <v>478</v>
      </c>
      <c r="D2" s="12">
        <v>53520</v>
      </c>
      <c r="E2" s="12">
        <v>3852262</v>
      </c>
      <c r="F2" s="12">
        <v>53520</v>
      </c>
      <c r="G2" s="12">
        <v>3852262</v>
      </c>
      <c r="H2" s="12">
        <v>12109</v>
      </c>
      <c r="I2" s="10" t="s">
        <v>479</v>
      </c>
      <c r="J2" s="12">
        <v>34320</v>
      </c>
      <c r="K2" s="12">
        <v>2470284</v>
      </c>
      <c r="L2" s="12">
        <v>34320</v>
      </c>
      <c r="M2" s="12">
        <v>2470284</v>
      </c>
      <c r="N2" s="12">
        <v>2286</v>
      </c>
      <c r="O2" s="10" t="s">
        <v>480</v>
      </c>
      <c r="P2" s="12">
        <v>6480</v>
      </c>
      <c r="Q2" s="12">
        <v>466417</v>
      </c>
      <c r="R2" s="12">
        <v>6480</v>
      </c>
      <c r="S2" s="12">
        <v>466417</v>
      </c>
      <c r="T2" s="12">
        <v>69595</v>
      </c>
      <c r="U2" s="10" t="s">
        <v>481</v>
      </c>
      <c r="V2" s="12">
        <v>240</v>
      </c>
      <c r="W2" s="12">
        <v>30000</v>
      </c>
      <c r="X2" s="12">
        <v>164400</v>
      </c>
      <c r="Y2" s="12">
        <v>2400</v>
      </c>
      <c r="Z2" s="12">
        <v>32136</v>
      </c>
      <c r="AA2" s="12">
        <v>2159340</v>
      </c>
      <c r="AB2" s="12">
        <v>11833183</v>
      </c>
      <c r="AC2" s="12">
        <v>172747</v>
      </c>
      <c r="AD2" s="12">
        <v>197040</v>
      </c>
      <c r="AE2" s="12">
        <v>14197406</v>
      </c>
      <c r="AF2" s="12">
        <v>76179</v>
      </c>
      <c r="AG2" s="11" t="s">
        <v>465</v>
      </c>
      <c r="AH2" s="12">
        <v>5280</v>
      </c>
      <c r="AI2" s="12">
        <v>240</v>
      </c>
      <c r="AJ2" s="12">
        <v>240</v>
      </c>
      <c r="AK2" s="12">
        <v>30000</v>
      </c>
      <c r="AL2" s="12">
        <v>167280</v>
      </c>
      <c r="AM2" s="12">
        <v>13680</v>
      </c>
      <c r="AN2" s="12">
        <v>316800</v>
      </c>
      <c r="AO2" s="12">
        <v>7200</v>
      </c>
      <c r="AP2" s="12">
        <v>32136</v>
      </c>
      <c r="AQ2" s="12">
        <v>2159340</v>
      </c>
      <c r="AR2" s="12">
        <v>12040479</v>
      </c>
      <c r="AS2" s="12">
        <v>984659</v>
      </c>
      <c r="AT2" s="12">
        <v>216720</v>
      </c>
      <c r="AU2" s="12">
        <v>15540614</v>
      </c>
      <c r="AV2" s="12">
        <v>76197</v>
      </c>
      <c r="AW2" s="11" t="s">
        <v>466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4080</v>
      </c>
      <c r="BD2" s="12">
        <v>178560</v>
      </c>
      <c r="BE2" s="12">
        <v>33120</v>
      </c>
      <c r="BF2" s="12">
        <v>240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293670</v>
      </c>
      <c r="BM2" s="12">
        <v>12852391</v>
      </c>
      <c r="BN2" s="12">
        <v>2383911</v>
      </c>
      <c r="BO2" s="12">
        <v>14160</v>
      </c>
      <c r="BP2" s="12">
        <v>216000</v>
      </c>
      <c r="BQ2" s="12">
        <v>15544133</v>
      </c>
      <c r="BR2" s="12">
        <v>76197</v>
      </c>
      <c r="BS2" s="11" t="s">
        <v>466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215760</v>
      </c>
      <c r="BZ2" s="12">
        <v>0</v>
      </c>
      <c r="CA2" s="12">
        <v>240</v>
      </c>
      <c r="CB2" s="12">
        <v>0</v>
      </c>
      <c r="CC2" s="12">
        <v>0</v>
      </c>
      <c r="CD2" s="12">
        <v>0</v>
      </c>
      <c r="CE2" s="12">
        <v>0</v>
      </c>
      <c r="CF2" s="12">
        <v>0</v>
      </c>
      <c r="CG2" s="12">
        <v>15529973</v>
      </c>
      <c r="CH2" s="12">
        <v>0</v>
      </c>
      <c r="CI2" s="12">
        <v>14160</v>
      </c>
      <c r="CJ2" s="12">
        <v>216000</v>
      </c>
      <c r="CK2" s="12">
        <v>15544133</v>
      </c>
      <c r="CL2" s="12">
        <v>76197</v>
      </c>
      <c r="CM2" s="11" t="s">
        <v>466</v>
      </c>
      <c r="CN2" s="12">
        <v>0</v>
      </c>
      <c r="CO2" s="12">
        <v>0</v>
      </c>
      <c r="CP2" s="12">
        <v>0</v>
      </c>
      <c r="CQ2" s="12">
        <v>0</v>
      </c>
      <c r="CR2" s="12">
        <v>0</v>
      </c>
      <c r="CS2" s="12">
        <v>215760</v>
      </c>
      <c r="CT2" s="12">
        <v>0</v>
      </c>
      <c r="CU2" s="12">
        <v>240</v>
      </c>
      <c r="CV2" s="12">
        <v>0</v>
      </c>
      <c r="CW2" s="12">
        <v>0</v>
      </c>
      <c r="CX2" s="12">
        <v>0</v>
      </c>
      <c r="CY2" s="12">
        <v>0</v>
      </c>
      <c r="CZ2" s="12">
        <v>0</v>
      </c>
      <c r="DA2" s="12">
        <v>0</v>
      </c>
      <c r="DB2" s="12">
        <v>15529973</v>
      </c>
      <c r="DC2" s="12">
        <v>0</v>
      </c>
      <c r="DD2" s="12">
        <v>14160</v>
      </c>
      <c r="DE2" s="12">
        <v>0</v>
      </c>
      <c r="DF2" s="12">
        <v>216000</v>
      </c>
      <c r="DG2" s="12">
        <v>15544133</v>
      </c>
      <c r="DH2" s="12">
        <v>76197</v>
      </c>
      <c r="DI2" s="11" t="s">
        <v>466</v>
      </c>
      <c r="DJ2" s="12">
        <v>0</v>
      </c>
      <c r="DK2" s="12">
        <v>0</v>
      </c>
      <c r="DL2" s="12">
        <v>0</v>
      </c>
      <c r="DM2" s="12">
        <v>0</v>
      </c>
      <c r="DN2" s="12">
        <v>0</v>
      </c>
      <c r="DO2" s="12">
        <v>215760</v>
      </c>
      <c r="DP2" s="12">
        <v>0</v>
      </c>
      <c r="DQ2" s="12">
        <v>240</v>
      </c>
      <c r="DR2" s="12">
        <v>0</v>
      </c>
      <c r="DS2" s="12">
        <v>0</v>
      </c>
      <c r="DT2" s="12">
        <v>0</v>
      </c>
      <c r="DU2" s="12">
        <v>0</v>
      </c>
      <c r="DV2" s="12">
        <v>0</v>
      </c>
      <c r="DW2" s="12">
        <v>0</v>
      </c>
      <c r="DX2" s="12">
        <v>15529973</v>
      </c>
      <c r="DY2" s="12">
        <v>0</v>
      </c>
      <c r="DZ2" s="12">
        <v>14160</v>
      </c>
      <c r="EA2" s="12">
        <v>0</v>
      </c>
      <c r="EB2" s="12">
        <v>216000</v>
      </c>
      <c r="EC2" s="12">
        <v>15544133</v>
      </c>
      <c r="ED2" s="12">
        <v>76197</v>
      </c>
      <c r="EE2" s="11" t="s">
        <v>466</v>
      </c>
      <c r="EF2" s="12">
        <v>0</v>
      </c>
      <c r="EG2" s="12">
        <v>0</v>
      </c>
      <c r="EH2" s="12">
        <v>0</v>
      </c>
      <c r="EI2" s="12">
        <v>0</v>
      </c>
      <c r="EJ2" s="12">
        <v>0</v>
      </c>
      <c r="EK2" s="12">
        <v>215760</v>
      </c>
      <c r="EL2" s="12">
        <v>0</v>
      </c>
      <c r="EM2" s="12">
        <v>240</v>
      </c>
      <c r="EN2" s="12">
        <v>0</v>
      </c>
      <c r="EO2" s="12">
        <v>0</v>
      </c>
      <c r="EP2" s="12">
        <v>0</v>
      </c>
      <c r="EQ2" s="12">
        <v>0</v>
      </c>
      <c r="ER2" s="12">
        <v>0</v>
      </c>
      <c r="ES2" s="12">
        <v>0</v>
      </c>
      <c r="ET2" s="12">
        <v>15529973</v>
      </c>
      <c r="EU2" s="12">
        <v>0</v>
      </c>
      <c r="EV2" s="12">
        <v>14160</v>
      </c>
      <c r="EW2" s="12">
        <v>0</v>
      </c>
      <c r="EX2" s="12">
        <v>216000</v>
      </c>
      <c r="EY2" s="12">
        <v>15544133</v>
      </c>
      <c r="EZ2" s="12">
        <v>76197</v>
      </c>
      <c r="FA2" s="11" t="s">
        <v>466</v>
      </c>
      <c r="FB2" s="12">
        <v>0</v>
      </c>
      <c r="FC2" s="12">
        <v>0</v>
      </c>
      <c r="FD2" s="12">
        <v>0</v>
      </c>
      <c r="FE2" s="12">
        <v>0</v>
      </c>
      <c r="FF2" s="12">
        <v>0</v>
      </c>
      <c r="FG2" s="12">
        <v>215760</v>
      </c>
      <c r="FH2" s="12">
        <v>0</v>
      </c>
      <c r="FI2" s="12">
        <v>240</v>
      </c>
      <c r="FJ2" s="12">
        <v>0</v>
      </c>
      <c r="FK2" s="12">
        <v>0</v>
      </c>
      <c r="FL2" s="12">
        <v>0</v>
      </c>
      <c r="FM2" s="12">
        <v>0</v>
      </c>
      <c r="FN2" s="12">
        <v>0</v>
      </c>
      <c r="FO2" s="12">
        <v>0</v>
      </c>
      <c r="FP2" s="12">
        <v>15529973</v>
      </c>
      <c r="FQ2" s="12">
        <v>0</v>
      </c>
      <c r="FR2" s="12">
        <v>14160</v>
      </c>
      <c r="FS2" s="12">
        <v>0</v>
      </c>
      <c r="FT2" s="12">
        <v>216000</v>
      </c>
      <c r="FU2" s="12">
        <v>15544133</v>
      </c>
    </row>
    <row x14ac:dyDescent="0.25" r="3" customHeight="1" ht="18" customFormat="1" s="8">
      <c r="A3" s="9" t="s">
        <v>482</v>
      </c>
      <c r="B3" s="12">
        <v>0</v>
      </c>
      <c r="C3" s="16" t="s">
        <v>112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0" t="s">
        <v>112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0" t="s">
        <v>112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0" t="s">
        <v>112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14859</v>
      </c>
      <c r="AG3" s="11" t="s">
        <v>483</v>
      </c>
      <c r="AH3" s="12">
        <v>38400</v>
      </c>
      <c r="AI3" s="12">
        <v>24240</v>
      </c>
      <c r="AJ3" s="12">
        <v>0</v>
      </c>
      <c r="AK3" s="12">
        <v>0</v>
      </c>
      <c r="AL3" s="12">
        <v>0</v>
      </c>
      <c r="AM3" s="12">
        <v>0</v>
      </c>
      <c r="AN3" s="12">
        <v>2304000</v>
      </c>
      <c r="AO3" s="12">
        <v>727200</v>
      </c>
      <c r="AP3" s="12">
        <v>0</v>
      </c>
      <c r="AQ3" s="12">
        <v>0</v>
      </c>
      <c r="AR3" s="12">
        <v>0</v>
      </c>
      <c r="AS3" s="12">
        <v>0</v>
      </c>
      <c r="AT3" s="12">
        <v>62640</v>
      </c>
      <c r="AU3" s="12">
        <v>3031200</v>
      </c>
      <c r="AV3" s="12">
        <v>73185</v>
      </c>
      <c r="AW3" s="11" t="s">
        <v>484</v>
      </c>
      <c r="AX3" s="12">
        <v>45360</v>
      </c>
      <c r="AY3" s="12">
        <v>43680</v>
      </c>
      <c r="AZ3" s="12">
        <v>24480</v>
      </c>
      <c r="BA3" s="12">
        <v>13680</v>
      </c>
      <c r="BB3" s="12">
        <v>240</v>
      </c>
      <c r="BC3" s="12">
        <v>25920</v>
      </c>
      <c r="BD3" s="12">
        <v>0</v>
      </c>
      <c r="BE3" s="12">
        <v>0</v>
      </c>
      <c r="BF3" s="12">
        <v>64800</v>
      </c>
      <c r="BG3" s="12">
        <v>5443200</v>
      </c>
      <c r="BH3" s="12">
        <v>2620800</v>
      </c>
      <c r="BI3" s="12">
        <v>734400</v>
      </c>
      <c r="BJ3" s="12">
        <v>410400</v>
      </c>
      <c r="BK3" s="12">
        <v>32136</v>
      </c>
      <c r="BL3" s="12">
        <v>1865669</v>
      </c>
      <c r="BM3" s="12">
        <v>0</v>
      </c>
      <c r="BN3" s="12">
        <v>0</v>
      </c>
      <c r="BO3" s="12">
        <v>3823200</v>
      </c>
      <c r="BP3" s="12">
        <v>218160</v>
      </c>
      <c r="BQ3" s="12">
        <v>14929805</v>
      </c>
      <c r="BR3" s="12">
        <v>76181</v>
      </c>
      <c r="BS3" s="11" t="s">
        <v>465</v>
      </c>
      <c r="BT3" s="12">
        <v>57360</v>
      </c>
      <c r="BU3" s="12">
        <v>0</v>
      </c>
      <c r="BV3" s="12">
        <v>0</v>
      </c>
      <c r="BW3" s="12">
        <v>34320</v>
      </c>
      <c r="BX3" s="12">
        <v>12240</v>
      </c>
      <c r="BY3" s="12">
        <v>1440</v>
      </c>
      <c r="BZ3" s="12">
        <v>16560</v>
      </c>
      <c r="CA3" s="12">
        <v>92400</v>
      </c>
      <c r="CB3" s="12">
        <v>6883200</v>
      </c>
      <c r="CC3" s="12">
        <v>0</v>
      </c>
      <c r="CD3" s="12">
        <v>0</v>
      </c>
      <c r="CE3" s="12">
        <v>1029600</v>
      </c>
      <c r="CF3" s="12">
        <v>881010</v>
      </c>
      <c r="CG3" s="12">
        <v>103648</v>
      </c>
      <c r="CH3" s="12">
        <v>1191955</v>
      </c>
      <c r="CI3" s="12">
        <v>5451600</v>
      </c>
      <c r="CJ3" s="12">
        <v>214320</v>
      </c>
      <c r="CK3" s="12">
        <v>15541014</v>
      </c>
      <c r="CL3" s="12">
        <v>76177</v>
      </c>
      <c r="CM3" s="11" t="s">
        <v>485</v>
      </c>
      <c r="CN3" s="12">
        <v>0</v>
      </c>
      <c r="CO3" s="12">
        <v>0</v>
      </c>
      <c r="CP3" s="12">
        <v>0</v>
      </c>
      <c r="CQ3" s="12">
        <v>12000</v>
      </c>
      <c r="CR3" s="12">
        <v>24960</v>
      </c>
      <c r="CS3" s="12">
        <v>74160</v>
      </c>
      <c r="CT3" s="12">
        <v>26400</v>
      </c>
      <c r="CU3" s="12">
        <v>99360</v>
      </c>
      <c r="CV3" s="12">
        <v>4800</v>
      </c>
      <c r="CW3" s="12">
        <v>0</v>
      </c>
      <c r="CX3" s="12">
        <v>0</v>
      </c>
      <c r="CY3" s="12">
        <v>0</v>
      </c>
      <c r="CZ3" s="12">
        <v>360000</v>
      </c>
      <c r="DA3" s="12">
        <v>1796570</v>
      </c>
      <c r="DB3" s="12">
        <v>5337888</v>
      </c>
      <c r="DC3" s="12">
        <v>1900219</v>
      </c>
      <c r="DD3" s="12">
        <v>5862240</v>
      </c>
      <c r="DE3" s="12">
        <v>283200</v>
      </c>
      <c r="DF3" s="12">
        <v>241680</v>
      </c>
      <c r="DG3" s="12">
        <v>15540118</v>
      </c>
      <c r="DH3" s="12">
        <v>76212</v>
      </c>
      <c r="DI3" s="11" t="s">
        <v>467</v>
      </c>
      <c r="DJ3" s="12">
        <v>0</v>
      </c>
      <c r="DK3" s="12">
        <v>0</v>
      </c>
      <c r="DL3" s="12">
        <v>0</v>
      </c>
      <c r="DM3" s="12">
        <v>0</v>
      </c>
      <c r="DN3" s="12">
        <v>19440</v>
      </c>
      <c r="DO3" s="12">
        <v>164160</v>
      </c>
      <c r="DP3" s="12">
        <v>32400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1399252</v>
      </c>
      <c r="DX3" s="12">
        <v>11815908</v>
      </c>
      <c r="DY3" s="12">
        <v>2332087</v>
      </c>
      <c r="DZ3" s="12">
        <v>0</v>
      </c>
      <c r="EA3" s="12">
        <v>0</v>
      </c>
      <c r="EB3" s="12">
        <v>216000</v>
      </c>
      <c r="EC3" s="12">
        <v>15547248</v>
      </c>
      <c r="ED3" s="12">
        <v>76197</v>
      </c>
      <c r="EE3" s="11" t="s">
        <v>466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215760</v>
      </c>
      <c r="EL3" s="12">
        <v>0</v>
      </c>
      <c r="EM3" s="12">
        <v>240</v>
      </c>
      <c r="EN3" s="12">
        <v>0</v>
      </c>
      <c r="EO3" s="12">
        <v>0</v>
      </c>
      <c r="EP3" s="12">
        <v>0</v>
      </c>
      <c r="EQ3" s="12">
        <v>0</v>
      </c>
      <c r="ER3" s="12">
        <v>0</v>
      </c>
      <c r="ES3" s="12">
        <v>0</v>
      </c>
      <c r="ET3" s="12">
        <v>15529973</v>
      </c>
      <c r="EU3" s="12">
        <v>0</v>
      </c>
      <c r="EV3" s="12">
        <v>14160</v>
      </c>
      <c r="EW3" s="12">
        <v>0</v>
      </c>
      <c r="EX3" s="12">
        <v>216000</v>
      </c>
      <c r="EY3" s="12">
        <v>15544133</v>
      </c>
      <c r="EZ3" s="12">
        <v>76197</v>
      </c>
      <c r="FA3" s="11" t="s">
        <v>466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184080</v>
      </c>
      <c r="FH3" s="12">
        <v>31680</v>
      </c>
      <c r="FI3" s="12">
        <v>240</v>
      </c>
      <c r="FJ3" s="12">
        <v>0</v>
      </c>
      <c r="FK3" s="12">
        <v>0</v>
      </c>
      <c r="FL3" s="12">
        <v>0</v>
      </c>
      <c r="FM3" s="12">
        <v>0</v>
      </c>
      <c r="FN3" s="12">
        <v>0</v>
      </c>
      <c r="FO3" s="12">
        <v>0</v>
      </c>
      <c r="FP3" s="12">
        <v>13249710</v>
      </c>
      <c r="FQ3" s="12">
        <v>2280263</v>
      </c>
      <c r="FR3" s="12">
        <v>14160</v>
      </c>
      <c r="FS3" s="12">
        <v>0</v>
      </c>
      <c r="FT3" s="12">
        <v>216000</v>
      </c>
      <c r="FU3" s="12">
        <v>15544133</v>
      </c>
    </row>
    <row x14ac:dyDescent="0.25" r="4" customHeight="1" ht="18" customFormat="1" s="8">
      <c r="A4" s="9" t="s">
        <v>486</v>
      </c>
      <c r="B4" s="12">
        <v>0</v>
      </c>
      <c r="C4" s="16" t="s">
        <v>112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0" t="s">
        <v>112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0" t="s">
        <v>112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0" t="s">
        <v>112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1" t="s">
        <v>112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1" t="s">
        <v>112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72882</v>
      </c>
      <c r="BS4" s="11" t="s">
        <v>487</v>
      </c>
      <c r="BT4" s="12">
        <v>62880</v>
      </c>
      <c r="BU4" s="12">
        <v>95280</v>
      </c>
      <c r="BV4" s="12">
        <v>53520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7545600</v>
      </c>
      <c r="CC4" s="12">
        <v>5716800</v>
      </c>
      <c r="CD4" s="12">
        <v>1605600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211680</v>
      </c>
      <c r="CK4" s="12">
        <v>14868000</v>
      </c>
      <c r="CL4" s="12">
        <v>76200</v>
      </c>
      <c r="CM4" s="11" t="s">
        <v>466</v>
      </c>
      <c r="CN4" s="12">
        <v>123840</v>
      </c>
      <c r="CO4" s="12">
        <v>240</v>
      </c>
      <c r="CP4" s="12">
        <v>0</v>
      </c>
      <c r="CQ4" s="12">
        <v>22320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14860800</v>
      </c>
      <c r="CX4" s="12">
        <v>14400</v>
      </c>
      <c r="CY4" s="12">
        <v>0</v>
      </c>
      <c r="CZ4" s="12">
        <v>669600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146400</v>
      </c>
      <c r="DG4" s="12">
        <v>15544800</v>
      </c>
      <c r="DH4" s="12">
        <v>76197</v>
      </c>
      <c r="DI4" s="11" t="s">
        <v>466</v>
      </c>
      <c r="DJ4" s="12">
        <v>23520</v>
      </c>
      <c r="DK4" s="12">
        <v>240</v>
      </c>
      <c r="DL4" s="12">
        <v>0</v>
      </c>
      <c r="DM4" s="12">
        <v>34320</v>
      </c>
      <c r="DN4" s="12">
        <v>20400</v>
      </c>
      <c r="DO4" s="12">
        <v>0</v>
      </c>
      <c r="DP4" s="12">
        <v>0</v>
      </c>
      <c r="DQ4" s="12">
        <v>153120</v>
      </c>
      <c r="DR4" s="12">
        <v>19920</v>
      </c>
      <c r="DS4" s="12">
        <v>2822400</v>
      </c>
      <c r="DT4" s="12">
        <v>14400</v>
      </c>
      <c r="DU4" s="12">
        <v>0</v>
      </c>
      <c r="DV4" s="12">
        <v>1029600</v>
      </c>
      <c r="DW4" s="12">
        <v>1468351</v>
      </c>
      <c r="DX4" s="12">
        <v>0</v>
      </c>
      <c r="DY4" s="12">
        <v>0</v>
      </c>
      <c r="DZ4" s="12">
        <v>9034080</v>
      </c>
      <c r="EA4" s="12">
        <v>1175280</v>
      </c>
      <c r="EB4" s="12">
        <v>251520</v>
      </c>
      <c r="EC4" s="12">
        <v>15544111</v>
      </c>
      <c r="ED4" s="12">
        <v>76197</v>
      </c>
      <c r="EE4" s="11" t="s">
        <v>466</v>
      </c>
      <c r="EF4" s="12">
        <v>0</v>
      </c>
      <c r="EG4" s="12">
        <v>0</v>
      </c>
      <c r="EH4" s="12">
        <v>0</v>
      </c>
      <c r="EI4" s="12">
        <v>0</v>
      </c>
      <c r="EJ4" s="12">
        <v>53280</v>
      </c>
      <c r="EK4" s="12">
        <v>108480</v>
      </c>
      <c r="EL4" s="12">
        <v>54000</v>
      </c>
      <c r="EM4" s="12">
        <v>240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3834987</v>
      </c>
      <c r="ET4" s="12">
        <v>7808173</v>
      </c>
      <c r="EU4" s="12">
        <v>3886812</v>
      </c>
      <c r="EV4" s="12">
        <v>14160</v>
      </c>
      <c r="EW4" s="12">
        <v>0</v>
      </c>
      <c r="EX4" s="12">
        <v>216000</v>
      </c>
      <c r="EY4" s="12">
        <v>15544133</v>
      </c>
      <c r="EZ4" s="12">
        <v>76186</v>
      </c>
      <c r="FA4" s="11" t="s">
        <v>308</v>
      </c>
      <c r="FB4" s="12">
        <v>0</v>
      </c>
      <c r="FC4" s="12">
        <v>0</v>
      </c>
      <c r="FD4" s="12">
        <v>0</v>
      </c>
      <c r="FE4" s="12">
        <v>240</v>
      </c>
      <c r="FF4" s="12">
        <v>49920</v>
      </c>
      <c r="FG4" s="12">
        <v>0</v>
      </c>
      <c r="FH4" s="12">
        <v>11280</v>
      </c>
      <c r="FI4" s="12">
        <v>180720</v>
      </c>
      <c r="FJ4" s="12">
        <v>7920</v>
      </c>
      <c r="FK4" s="12">
        <v>0</v>
      </c>
      <c r="FL4" s="12">
        <v>0</v>
      </c>
      <c r="FM4" s="12">
        <v>0</v>
      </c>
      <c r="FN4" s="12">
        <v>7200</v>
      </c>
      <c r="FO4" s="12">
        <v>3593141</v>
      </c>
      <c r="FP4" s="12">
        <v>0</v>
      </c>
      <c r="FQ4" s="12">
        <v>811911</v>
      </c>
      <c r="FR4" s="12">
        <v>10662480</v>
      </c>
      <c r="FS4" s="12">
        <v>467280</v>
      </c>
      <c r="FT4" s="12">
        <v>250080</v>
      </c>
      <c r="FU4" s="12">
        <v>15542013</v>
      </c>
    </row>
    <row x14ac:dyDescent="0.25" r="5" customHeight="1" ht="18" customFormat="1" s="8">
      <c r="A5" s="9" t="s">
        <v>488</v>
      </c>
      <c r="B5" s="12">
        <v>0</v>
      </c>
      <c r="C5" s="16" t="s">
        <v>112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0" t="s">
        <v>112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0" t="s">
        <v>112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0" t="s">
        <v>112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1" t="s">
        <v>112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1" t="s">
        <v>112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1" t="s">
        <v>112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45000</v>
      </c>
      <c r="CM5" s="11" t="s">
        <v>489</v>
      </c>
      <c r="CN5" s="12">
        <v>15600</v>
      </c>
      <c r="CO5" s="12">
        <v>95040</v>
      </c>
      <c r="CP5" s="12">
        <v>53520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1872000</v>
      </c>
      <c r="CX5" s="12">
        <v>5702400</v>
      </c>
      <c r="CY5" s="12">
        <v>1605600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164160</v>
      </c>
      <c r="DG5" s="12">
        <v>9180000</v>
      </c>
      <c r="DH5" s="12">
        <v>76200</v>
      </c>
      <c r="DI5" s="11" t="s">
        <v>466</v>
      </c>
      <c r="DJ5" s="12">
        <v>119040</v>
      </c>
      <c r="DK5" s="12">
        <v>20880</v>
      </c>
      <c r="DL5" s="12">
        <v>240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14284800</v>
      </c>
      <c r="DT5" s="12">
        <v>1252800</v>
      </c>
      <c r="DU5" s="12">
        <v>7200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140160</v>
      </c>
      <c r="EC5" s="12">
        <v>15544800</v>
      </c>
      <c r="ED5" s="12">
        <v>76197</v>
      </c>
      <c r="EE5" s="11" t="s">
        <v>466</v>
      </c>
      <c r="EF5" s="12">
        <v>11520</v>
      </c>
      <c r="EG5" s="12">
        <v>0</v>
      </c>
      <c r="EH5" s="12">
        <v>0</v>
      </c>
      <c r="EI5" s="12">
        <v>34320</v>
      </c>
      <c r="EJ5" s="12">
        <v>14640</v>
      </c>
      <c r="EK5" s="12">
        <v>0</v>
      </c>
      <c r="EL5" s="12">
        <v>0</v>
      </c>
      <c r="EM5" s="12">
        <v>164880</v>
      </c>
      <c r="EN5" s="12">
        <v>39840</v>
      </c>
      <c r="EO5" s="12">
        <v>1382400</v>
      </c>
      <c r="EP5" s="12">
        <v>0</v>
      </c>
      <c r="EQ5" s="12">
        <v>0</v>
      </c>
      <c r="ER5" s="12">
        <v>1029600</v>
      </c>
      <c r="ES5" s="12">
        <v>1053757</v>
      </c>
      <c r="ET5" s="12">
        <v>0</v>
      </c>
      <c r="EU5" s="12">
        <v>0</v>
      </c>
      <c r="EV5" s="12">
        <v>9727920</v>
      </c>
      <c r="EW5" s="12">
        <v>2350560</v>
      </c>
      <c r="EX5" s="12">
        <v>265200</v>
      </c>
      <c r="EY5" s="12">
        <v>15544237</v>
      </c>
      <c r="EZ5" s="12">
        <v>76189</v>
      </c>
      <c r="FA5" s="11" t="s">
        <v>308</v>
      </c>
      <c r="FB5" s="12">
        <v>88080</v>
      </c>
      <c r="FC5" s="12">
        <v>0</v>
      </c>
      <c r="FD5" s="12">
        <v>0</v>
      </c>
      <c r="FE5" s="12">
        <v>34080</v>
      </c>
      <c r="FF5" s="12">
        <v>0</v>
      </c>
      <c r="FG5" s="12">
        <v>0</v>
      </c>
      <c r="FH5" s="12">
        <v>0</v>
      </c>
      <c r="FI5" s="12">
        <v>0</v>
      </c>
      <c r="FJ5" s="12">
        <v>66960</v>
      </c>
      <c r="FK5" s="12">
        <v>10569600</v>
      </c>
      <c r="FL5" s="12">
        <v>0</v>
      </c>
      <c r="FM5" s="12">
        <v>0</v>
      </c>
      <c r="FN5" s="12">
        <v>1022400</v>
      </c>
      <c r="FO5" s="12">
        <v>0</v>
      </c>
      <c r="FP5" s="12">
        <v>0</v>
      </c>
      <c r="FQ5" s="12">
        <v>0</v>
      </c>
      <c r="FR5" s="12">
        <v>0</v>
      </c>
      <c r="FS5" s="12">
        <v>3950640</v>
      </c>
      <c r="FT5" s="12">
        <v>189120</v>
      </c>
      <c r="FU5" s="12">
        <v>15542640</v>
      </c>
    </row>
    <row x14ac:dyDescent="0.25" r="6" customHeight="1" ht="18" customFormat="1" s="8">
      <c r="A6" s="9" t="s">
        <v>490</v>
      </c>
      <c r="B6" s="12">
        <v>0</v>
      </c>
      <c r="C6" s="16" t="s">
        <v>112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0" t="s">
        <v>112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0" t="s">
        <v>112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0" t="s">
        <v>112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1" t="s">
        <v>112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1" t="s">
        <v>112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1" t="s">
        <v>112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1" t="s">
        <v>112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29647</v>
      </c>
      <c r="DI6" s="11" t="s">
        <v>491</v>
      </c>
      <c r="DJ6" s="12">
        <v>0</v>
      </c>
      <c r="DK6" s="12">
        <v>74160</v>
      </c>
      <c r="DL6" s="12">
        <v>53280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4449600</v>
      </c>
      <c r="DU6" s="12">
        <v>1598400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127440</v>
      </c>
      <c r="EC6" s="12">
        <v>6048000</v>
      </c>
      <c r="ED6" s="12">
        <v>76200</v>
      </c>
      <c r="EE6" s="11" t="s">
        <v>466</v>
      </c>
      <c r="EF6" s="12">
        <v>129360</v>
      </c>
      <c r="EG6" s="12">
        <v>240</v>
      </c>
      <c r="EH6" s="12">
        <v>240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15523200</v>
      </c>
      <c r="EP6" s="12">
        <v>14400</v>
      </c>
      <c r="EQ6" s="12">
        <v>7200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129840</v>
      </c>
      <c r="EY6" s="12">
        <v>15544800</v>
      </c>
      <c r="EZ6" s="12">
        <v>54247</v>
      </c>
      <c r="FA6" s="11" t="s">
        <v>492</v>
      </c>
      <c r="FB6" s="12">
        <v>31200</v>
      </c>
      <c r="FC6" s="12">
        <v>95280</v>
      </c>
      <c r="FD6" s="12">
        <v>53520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3744000</v>
      </c>
      <c r="FL6" s="12">
        <v>5716800</v>
      </c>
      <c r="FM6" s="12">
        <v>1605600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180000</v>
      </c>
      <c r="FU6" s="12">
        <v>11066400</v>
      </c>
    </row>
    <row x14ac:dyDescent="0.25" r="7" customHeight="1" ht="18">
      <c r="A7" s="1"/>
      <c r="B7" s="13"/>
      <c r="C7" s="17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9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9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9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9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9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9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9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</row>
    <row x14ac:dyDescent="0.25" r="8" customHeight="1" ht="18">
      <c r="A8" s="1"/>
      <c r="B8" s="13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9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9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9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9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9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9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9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</row>
    <row x14ac:dyDescent="0.25" r="9" customHeight="1" ht="18">
      <c r="A9" s="1" t="s">
        <v>130</v>
      </c>
      <c r="B9" s="13"/>
      <c r="C9" s="17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9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9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9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9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9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9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9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</row>
    <row x14ac:dyDescent="0.25" r="10" customHeight="1" ht="18" customFormat="1" s="8">
      <c r="A10" s="9" t="s">
        <v>0</v>
      </c>
      <c r="B10" s="10" t="s">
        <v>5</v>
      </c>
      <c r="C10" s="16" t="s">
        <v>11</v>
      </c>
      <c r="D10" s="10" t="s">
        <v>17</v>
      </c>
      <c r="E10" s="10" t="s">
        <v>27</v>
      </c>
      <c r="F10" s="10" t="s">
        <v>37</v>
      </c>
      <c r="G10" s="10" t="s">
        <v>47</v>
      </c>
      <c r="H10" s="10" t="s">
        <v>57</v>
      </c>
      <c r="I10" s="10" t="s">
        <v>67</v>
      </c>
      <c r="J10" s="10" t="s">
        <v>77</v>
      </c>
      <c r="K10" s="10" t="s">
        <v>87</v>
      </c>
      <c r="L10" s="10" t="s">
        <v>97</v>
      </c>
      <c r="M10" s="10" t="s">
        <v>6</v>
      </c>
      <c r="N10" s="10" t="s">
        <v>12</v>
      </c>
      <c r="O10" s="10" t="s">
        <v>18</v>
      </c>
      <c r="P10" s="10" t="s">
        <v>28</v>
      </c>
      <c r="Q10" s="10" t="s">
        <v>38</v>
      </c>
      <c r="R10" s="10" t="s">
        <v>48</v>
      </c>
      <c r="S10" s="10" t="s">
        <v>58</v>
      </c>
      <c r="T10" s="10" t="s">
        <v>68</v>
      </c>
      <c r="U10" s="10" t="s">
        <v>78</v>
      </c>
      <c r="V10" s="10" t="s">
        <v>88</v>
      </c>
      <c r="W10" s="10" t="s">
        <v>98</v>
      </c>
      <c r="X10" s="10" t="s">
        <v>2</v>
      </c>
      <c r="Y10" s="10" t="s">
        <v>8</v>
      </c>
      <c r="Z10" s="10" t="s">
        <v>14</v>
      </c>
      <c r="AA10" s="10" t="s">
        <v>20</v>
      </c>
      <c r="AB10" s="10" t="s">
        <v>30</v>
      </c>
      <c r="AC10" s="10" t="s">
        <v>40</v>
      </c>
      <c r="AD10" s="10" t="s">
        <v>50</v>
      </c>
      <c r="AE10" s="10" t="s">
        <v>60</v>
      </c>
      <c r="AF10" s="10" t="s">
        <v>70</v>
      </c>
      <c r="AG10" s="11" t="s">
        <v>80</v>
      </c>
      <c r="AH10" s="10" t="s">
        <v>90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9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9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9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9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9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9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</row>
    <row x14ac:dyDescent="0.25" r="11" customHeight="1" ht="18" customFormat="1" s="8">
      <c r="A11" s="9" t="s">
        <v>477</v>
      </c>
      <c r="B11" s="12">
        <v>53520</v>
      </c>
      <c r="C11" s="12">
        <v>34320</v>
      </c>
      <c r="D11" s="12">
        <v>6480</v>
      </c>
      <c r="E11" s="12">
        <v>197040</v>
      </c>
      <c r="F11" s="12">
        <v>216720</v>
      </c>
      <c r="G11" s="12">
        <v>216000</v>
      </c>
      <c r="H11" s="12">
        <v>216000</v>
      </c>
      <c r="I11" s="12">
        <v>216000</v>
      </c>
      <c r="J11" s="12">
        <v>216000</v>
      </c>
      <c r="K11" s="12">
        <v>216000</v>
      </c>
      <c r="L11" s="12">
        <v>216000</v>
      </c>
      <c r="M11" s="12">
        <v>3852262</v>
      </c>
      <c r="N11" s="12">
        <v>2470284</v>
      </c>
      <c r="O11" s="12">
        <v>466417</v>
      </c>
      <c r="P11" s="12">
        <v>14197406</v>
      </c>
      <c r="Q11" s="12">
        <v>15540614</v>
      </c>
      <c r="R11" s="12">
        <v>15544133</v>
      </c>
      <c r="S11" s="12">
        <v>15544133</v>
      </c>
      <c r="T11" s="12">
        <v>15544133</v>
      </c>
      <c r="U11" s="12">
        <v>15544133</v>
      </c>
      <c r="V11" s="12">
        <v>15544133</v>
      </c>
      <c r="W11" s="12">
        <v>15544133</v>
      </c>
      <c r="X11" s="10" t="s">
        <v>478</v>
      </c>
      <c r="Y11" s="10" t="s">
        <v>479</v>
      </c>
      <c r="Z11" s="10" t="s">
        <v>480</v>
      </c>
      <c r="AA11" s="10" t="s">
        <v>481</v>
      </c>
      <c r="AB11" s="10" t="s">
        <v>465</v>
      </c>
      <c r="AC11" s="10" t="s">
        <v>466</v>
      </c>
      <c r="AD11" s="10" t="s">
        <v>466</v>
      </c>
      <c r="AE11" s="10" t="s">
        <v>466</v>
      </c>
      <c r="AF11" s="10" t="s">
        <v>466</v>
      </c>
      <c r="AG11" s="11" t="s">
        <v>466</v>
      </c>
      <c r="AH11" s="10" t="s">
        <v>466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9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9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9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9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9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9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</row>
    <row x14ac:dyDescent="0.25" r="12" customHeight="1" ht="18" customFormat="1" s="8">
      <c r="A12" s="9" t="s">
        <v>482</v>
      </c>
      <c r="B12" s="12">
        <v>0</v>
      </c>
      <c r="C12" s="12">
        <v>0</v>
      </c>
      <c r="D12" s="12">
        <v>0</v>
      </c>
      <c r="E12" s="12">
        <v>0</v>
      </c>
      <c r="F12" s="12">
        <v>62640</v>
      </c>
      <c r="G12" s="12">
        <v>218160</v>
      </c>
      <c r="H12" s="12">
        <v>214320</v>
      </c>
      <c r="I12" s="12">
        <v>241680</v>
      </c>
      <c r="J12" s="12">
        <v>216000</v>
      </c>
      <c r="K12" s="12">
        <v>216000</v>
      </c>
      <c r="L12" s="12">
        <v>216000</v>
      </c>
      <c r="M12" s="12">
        <v>0</v>
      </c>
      <c r="N12" s="12">
        <v>0</v>
      </c>
      <c r="O12" s="12">
        <v>0</v>
      </c>
      <c r="P12" s="12">
        <v>0</v>
      </c>
      <c r="Q12" s="12">
        <v>3031200</v>
      </c>
      <c r="R12" s="12">
        <v>14929805</v>
      </c>
      <c r="S12" s="12">
        <v>15541014</v>
      </c>
      <c r="T12" s="12">
        <v>15540118</v>
      </c>
      <c r="U12" s="12">
        <v>15547248</v>
      </c>
      <c r="V12" s="12">
        <v>15544133</v>
      </c>
      <c r="W12" s="12">
        <v>15544133</v>
      </c>
      <c r="X12" s="10" t="s">
        <v>112</v>
      </c>
      <c r="Y12" s="10" t="s">
        <v>112</v>
      </c>
      <c r="Z12" s="10" t="s">
        <v>112</v>
      </c>
      <c r="AA12" s="10" t="s">
        <v>112</v>
      </c>
      <c r="AB12" s="10" t="s">
        <v>483</v>
      </c>
      <c r="AC12" s="10" t="s">
        <v>484</v>
      </c>
      <c r="AD12" s="10" t="s">
        <v>465</v>
      </c>
      <c r="AE12" s="10" t="s">
        <v>485</v>
      </c>
      <c r="AF12" s="10" t="s">
        <v>467</v>
      </c>
      <c r="AG12" s="11" t="s">
        <v>466</v>
      </c>
      <c r="AH12" s="10" t="s">
        <v>466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9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9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9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9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9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9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</row>
    <row x14ac:dyDescent="0.25" r="13" customHeight="1" ht="18" customFormat="1" s="8">
      <c r="A13" s="9" t="s">
        <v>486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211680</v>
      </c>
      <c r="I13" s="12">
        <v>146400</v>
      </c>
      <c r="J13" s="12">
        <v>251520</v>
      </c>
      <c r="K13" s="12">
        <v>216000</v>
      </c>
      <c r="L13" s="12">
        <v>250080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14868000</v>
      </c>
      <c r="T13" s="12">
        <v>15544800</v>
      </c>
      <c r="U13" s="12">
        <v>15544111</v>
      </c>
      <c r="V13" s="12">
        <v>15544133</v>
      </c>
      <c r="W13" s="12">
        <v>15542013</v>
      </c>
      <c r="X13" s="10" t="s">
        <v>112</v>
      </c>
      <c r="Y13" s="10" t="s">
        <v>112</v>
      </c>
      <c r="Z13" s="10" t="s">
        <v>112</v>
      </c>
      <c r="AA13" s="10" t="s">
        <v>112</v>
      </c>
      <c r="AB13" s="10" t="s">
        <v>112</v>
      </c>
      <c r="AC13" s="10" t="s">
        <v>112</v>
      </c>
      <c r="AD13" s="10" t="s">
        <v>487</v>
      </c>
      <c r="AE13" s="10" t="s">
        <v>466</v>
      </c>
      <c r="AF13" s="10" t="s">
        <v>466</v>
      </c>
      <c r="AG13" s="11" t="s">
        <v>466</v>
      </c>
      <c r="AH13" s="10" t="s">
        <v>308</v>
      </c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9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9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9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9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9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9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</row>
    <row x14ac:dyDescent="0.25" r="14" customHeight="1" ht="18" customFormat="1" s="8">
      <c r="A14" s="9" t="s">
        <v>488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164160</v>
      </c>
      <c r="J14" s="12">
        <v>140160</v>
      </c>
      <c r="K14" s="12">
        <v>265200</v>
      </c>
      <c r="L14" s="12">
        <v>189120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9180000</v>
      </c>
      <c r="U14" s="12">
        <v>15544800</v>
      </c>
      <c r="V14" s="12">
        <v>15544237</v>
      </c>
      <c r="W14" s="12">
        <v>15542640</v>
      </c>
      <c r="X14" s="10" t="s">
        <v>112</v>
      </c>
      <c r="Y14" s="10" t="s">
        <v>112</v>
      </c>
      <c r="Z14" s="10" t="s">
        <v>112</v>
      </c>
      <c r="AA14" s="10" t="s">
        <v>112</v>
      </c>
      <c r="AB14" s="10" t="s">
        <v>112</v>
      </c>
      <c r="AC14" s="10" t="s">
        <v>112</v>
      </c>
      <c r="AD14" s="10" t="s">
        <v>112</v>
      </c>
      <c r="AE14" s="10" t="s">
        <v>489</v>
      </c>
      <c r="AF14" s="10" t="s">
        <v>466</v>
      </c>
      <c r="AG14" s="11" t="s">
        <v>466</v>
      </c>
      <c r="AH14" s="10" t="s">
        <v>308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9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9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9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9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9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9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</row>
    <row x14ac:dyDescent="0.25" r="15" customHeight="1" ht="18" customFormat="1" s="8">
      <c r="A15" s="9" t="s">
        <v>490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127440</v>
      </c>
      <c r="K15" s="12">
        <v>129840</v>
      </c>
      <c r="L15" s="12">
        <v>180000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6048000</v>
      </c>
      <c r="V15" s="12">
        <v>15544800</v>
      </c>
      <c r="W15" s="12">
        <v>11066400</v>
      </c>
      <c r="X15" s="10" t="s">
        <v>112</v>
      </c>
      <c r="Y15" s="10" t="s">
        <v>112</v>
      </c>
      <c r="Z15" s="10" t="s">
        <v>112</v>
      </c>
      <c r="AA15" s="10" t="s">
        <v>112</v>
      </c>
      <c r="AB15" s="10" t="s">
        <v>112</v>
      </c>
      <c r="AC15" s="10" t="s">
        <v>112</v>
      </c>
      <c r="AD15" s="10" t="s">
        <v>112</v>
      </c>
      <c r="AE15" s="10" t="s">
        <v>112</v>
      </c>
      <c r="AF15" s="10" t="s">
        <v>491</v>
      </c>
      <c r="AG15" s="11" t="s">
        <v>466</v>
      </c>
      <c r="AH15" s="10" t="s">
        <v>492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9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9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9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9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9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9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</row>
    <row x14ac:dyDescent="0.25" r="16" customHeight="1" ht="18">
      <c r="A16" s="1"/>
      <c r="B16" s="13"/>
      <c r="C16" s="1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9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9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9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9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9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9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9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</row>
    <row x14ac:dyDescent="0.25" r="17" customHeight="1" ht="18">
      <c r="A17" s="1"/>
      <c r="B17" s="13"/>
      <c r="C17" s="1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9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9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9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9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9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9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9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</row>
    <row x14ac:dyDescent="0.25" r="18" customHeight="1" ht="18">
      <c r="A18" s="1" t="s">
        <v>0</v>
      </c>
      <c r="B18" s="13"/>
      <c r="C18" s="1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9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9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9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9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9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9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9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</row>
    <row x14ac:dyDescent="0.25" r="19" customHeight="1" ht="18" customFormat="1" s="8">
      <c r="A19" s="9" t="s">
        <v>477</v>
      </c>
      <c r="B19" s="13"/>
      <c r="C19" s="18">
        <f>IFERROR(N11/C11,0)</f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9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9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9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9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9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9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9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</row>
    <row x14ac:dyDescent="0.25" r="20" customHeight="1" ht="18" customFormat="1" s="8">
      <c r="A20" s="9" t="s">
        <v>482</v>
      </c>
      <c r="B20" s="13"/>
      <c r="C20" s="18">
        <f>IFERROR(N12/C12,0)</f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9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9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9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9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9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9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9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</row>
    <row x14ac:dyDescent="0.25" r="21" customHeight="1" ht="18" customFormat="1" s="8">
      <c r="A21" s="9" t="s">
        <v>486</v>
      </c>
      <c r="B21" s="13"/>
      <c r="C21" s="18">
        <f>IFERROR(N13/C13,0)</f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9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9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9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9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9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9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9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</row>
    <row x14ac:dyDescent="0.25" r="22" customHeight="1" ht="18" customFormat="1" s="8">
      <c r="A22" s="9" t="s">
        <v>488</v>
      </c>
      <c r="B22" s="13"/>
      <c r="C22" s="18">
        <f>IFERROR(N14/C14,0)</f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9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9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9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9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9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9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9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</row>
    <row x14ac:dyDescent="0.25" r="23" customHeight="1" ht="18" customFormat="1" s="8">
      <c r="A23" s="9" t="s">
        <v>490</v>
      </c>
      <c r="B23" s="13"/>
      <c r="C23" s="18">
        <f>IFERROR(N15/C15,0)</f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9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9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9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9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9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9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9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Y23"/>
  <sheetViews>
    <sheetView workbookViewId="0"/>
  </sheetViews>
  <sheetFormatPr defaultRowHeight="15" x14ac:dyDescent="0.25"/>
  <cols>
    <col min="1" max="1" style="5" width="18.005" customWidth="1" bestFit="1"/>
    <col min="2" max="2" style="14" width="9.005" customWidth="1" bestFit="1"/>
    <col min="3" max="3" style="14" width="9.005" customWidth="1" bestFit="1"/>
    <col min="4" max="4" style="14" width="9.005" customWidth="1" bestFit="1"/>
    <col min="5" max="5" style="14" width="9.005" customWidth="1" bestFit="1"/>
    <col min="6" max="6" style="14" width="9.005" customWidth="1" bestFit="1"/>
    <col min="7" max="7" style="14" width="9.005" customWidth="1" bestFit="1"/>
    <col min="8" max="8" style="14" width="9.005" customWidth="1" bestFit="1"/>
    <col min="9" max="9" style="14" width="9.005" customWidth="1" bestFit="1"/>
    <col min="10" max="10" style="14" width="9.005" customWidth="1" bestFit="1"/>
    <col min="11" max="11" style="14" width="9.005" customWidth="1" bestFit="1"/>
    <col min="12" max="12" style="14" width="9.005" customWidth="1" bestFit="1"/>
    <col min="13" max="13" style="14" width="9.005" customWidth="1" bestFit="1"/>
    <col min="14" max="14" style="14" width="9.005" customWidth="1" bestFit="1"/>
    <col min="15" max="15" style="14" width="9.005" customWidth="1" bestFit="1"/>
    <col min="16" max="16" style="14" width="9.005" customWidth="1" bestFit="1"/>
    <col min="17" max="17" style="14" width="9.005" customWidth="1" bestFit="1"/>
    <col min="18" max="18" style="14" width="9.005" customWidth="1" bestFit="1"/>
    <col min="19" max="19" style="14" width="9.005" customWidth="1" bestFit="1"/>
    <col min="20" max="20" style="14" width="9.005" customWidth="1" bestFit="1"/>
    <col min="21" max="21" style="14" width="9.005" customWidth="1" bestFit="1"/>
    <col min="22" max="22" style="14" width="9.005" customWidth="1" bestFit="1"/>
    <col min="23" max="23" style="14" width="9.005" customWidth="1" bestFit="1"/>
    <col min="24" max="24" style="14" width="9.005" customWidth="1" bestFit="1"/>
    <col min="25" max="25" style="14" width="9.005" customWidth="1" bestFit="1"/>
    <col min="26" max="26" style="14" width="9.005" customWidth="1" bestFit="1"/>
    <col min="27" max="27" style="14" width="9.005" customWidth="1" bestFit="1"/>
    <col min="28" max="28" style="14" width="9.005" customWidth="1" bestFit="1"/>
    <col min="29" max="29" style="14" width="9.005" customWidth="1" bestFit="1"/>
    <col min="30" max="30" style="14" width="9.005" customWidth="1" bestFit="1"/>
    <col min="31" max="31" style="14" width="9.005" customWidth="1" bestFit="1"/>
    <col min="32" max="32" style="14" width="9.005" customWidth="1" bestFit="1"/>
    <col min="33" max="33" style="14" width="9.005" customWidth="1" bestFit="1"/>
    <col min="34" max="34" style="14" width="9.005" customWidth="1" bestFit="1"/>
    <col min="35" max="35" style="15" width="9.005" customWidth="1" bestFit="1"/>
    <col min="36" max="36" style="14" width="9.005" customWidth="1" bestFit="1"/>
    <col min="37" max="37" style="14" width="9.005" customWidth="1" bestFit="1"/>
    <col min="38" max="38" style="14" width="9.005" customWidth="1" bestFit="1"/>
    <col min="39" max="39" style="14" width="9.005" customWidth="1" bestFit="1"/>
    <col min="40" max="40" style="14" width="9.005" customWidth="1" bestFit="1"/>
    <col min="41" max="41" style="14" width="9.005" customWidth="1" bestFit="1"/>
    <col min="42" max="42" style="14" width="9.005" customWidth="1" bestFit="1"/>
    <col min="43" max="43" style="14" width="9.005" customWidth="1" bestFit="1"/>
    <col min="44" max="44" style="14" width="9.005" customWidth="1" bestFit="1"/>
    <col min="45" max="45" style="14" width="9.005" customWidth="1" bestFit="1"/>
    <col min="46" max="46" style="14" width="9.005" customWidth="1" bestFit="1"/>
    <col min="47" max="47" style="14" width="9.005" customWidth="1" bestFit="1"/>
    <col min="48" max="48" style="14" width="9.005" customWidth="1" bestFit="1"/>
    <col min="49" max="49" style="14" width="9.005" customWidth="1" bestFit="1"/>
    <col min="50" max="50" style="14" width="9.005" customWidth="1" bestFit="1"/>
    <col min="51" max="51" style="14" width="9.005" customWidth="1" bestFit="1"/>
    <col min="52" max="52" style="14" width="9.005" customWidth="1" bestFit="1"/>
    <col min="53" max="53" style="14" width="9.005" customWidth="1" bestFit="1"/>
    <col min="54" max="54" style="14" width="9.005" customWidth="1" bestFit="1"/>
    <col min="55" max="55" style="14" width="9.005" customWidth="1" bestFit="1"/>
    <col min="56" max="56" style="14" width="9.005" customWidth="1" bestFit="1"/>
    <col min="57" max="57" style="14" width="9.005" customWidth="1" bestFit="1"/>
    <col min="58" max="58" style="14" width="9.005" customWidth="1" bestFit="1"/>
    <col min="59" max="59" style="15" width="9.005" customWidth="1" bestFit="1"/>
    <col min="60" max="60" style="14" width="9.005" customWidth="1" bestFit="1"/>
    <col min="61" max="61" style="14" width="9.005" customWidth="1" bestFit="1"/>
    <col min="62" max="62" style="14" width="9.005" customWidth="1" bestFit="1"/>
    <col min="63" max="63" style="14" width="9.005" customWidth="1" bestFit="1"/>
    <col min="64" max="64" style="14" width="9.005" customWidth="1" bestFit="1"/>
    <col min="65" max="65" style="14" width="9.005" customWidth="1" bestFit="1"/>
    <col min="66" max="66" style="14" width="9.005" customWidth="1" bestFit="1"/>
    <col min="67" max="67" style="14" width="9.005" customWidth="1" bestFit="1"/>
    <col min="68" max="68" style="14" width="9.005" customWidth="1" bestFit="1"/>
    <col min="69" max="69" style="14" width="9.005" customWidth="1" bestFit="1"/>
    <col min="70" max="70" style="14" width="9.005" customWidth="1" bestFit="1"/>
    <col min="71" max="71" style="14" width="9.005" customWidth="1" bestFit="1"/>
    <col min="72" max="72" style="14" width="9.005" customWidth="1" bestFit="1"/>
    <col min="73" max="73" style="14" width="9.005" customWidth="1" bestFit="1"/>
    <col min="74" max="74" style="14" width="9.005" customWidth="1" bestFit="1"/>
    <col min="75" max="75" style="14" width="9.005" customWidth="1" bestFit="1"/>
    <col min="76" max="76" style="14" width="9.005" customWidth="1" bestFit="1"/>
    <col min="77" max="77" style="15" width="9.005" customWidth="1" bestFit="1"/>
    <col min="78" max="78" style="14" width="9.005" customWidth="1" bestFit="1"/>
    <col min="79" max="79" style="14" width="9.005" customWidth="1" bestFit="1"/>
    <col min="80" max="80" style="14" width="9.005" customWidth="1" bestFit="1"/>
    <col min="81" max="81" style="14" width="9.005" customWidth="1" bestFit="1"/>
    <col min="82" max="82" style="14" width="9.005" customWidth="1" bestFit="1"/>
    <col min="83" max="83" style="14" width="9.005" customWidth="1" bestFit="1"/>
    <col min="84" max="84" style="14" width="9.005" customWidth="1" bestFit="1"/>
    <col min="85" max="85" style="14" width="9.005" customWidth="1" bestFit="1"/>
    <col min="86" max="86" style="14" width="9.005" customWidth="1" bestFit="1"/>
    <col min="87" max="87" style="14" width="9.005" customWidth="1" bestFit="1"/>
    <col min="88" max="88" style="14" width="9.005" customWidth="1" bestFit="1"/>
    <col min="89" max="89" style="14" width="9.005" customWidth="1" bestFit="1"/>
    <col min="90" max="90" style="14" width="9.005" customWidth="1" bestFit="1"/>
    <col min="91" max="91" style="14" width="9.005" customWidth="1" bestFit="1"/>
    <col min="92" max="92" style="14" width="9.005" customWidth="1" bestFit="1"/>
    <col min="93" max="93" style="14" width="9.005" customWidth="1" bestFit="1"/>
    <col min="94" max="94" style="14" width="9.005" customWidth="1" bestFit="1"/>
    <col min="95" max="95" style="14" width="9.005" customWidth="1" bestFit="1"/>
    <col min="96" max="96" style="14" width="9.005" customWidth="1" bestFit="1"/>
    <col min="97" max="97" style="15" width="9.005" customWidth="1" bestFit="1"/>
    <col min="98" max="98" style="14" width="9.005" customWidth="1" bestFit="1"/>
    <col min="99" max="99" style="14" width="9.005" customWidth="1" bestFit="1"/>
    <col min="100" max="100" style="14" width="9.005" customWidth="1" bestFit="1"/>
    <col min="101" max="101" style="14" width="9.005" customWidth="1" bestFit="1"/>
    <col min="102" max="102" style="14" width="9.005" customWidth="1" bestFit="1"/>
    <col min="103" max="103" style="14" width="9.005" customWidth="1" bestFit="1"/>
    <col min="104" max="104" style="14" width="9.005" customWidth="1" bestFit="1"/>
    <col min="105" max="105" style="14" width="9.005" customWidth="1" bestFit="1"/>
    <col min="106" max="106" style="14" width="9.005" customWidth="1" bestFit="1"/>
    <col min="107" max="107" style="14" width="9.005" customWidth="1" bestFit="1"/>
    <col min="108" max="108" style="14" width="9.005" customWidth="1" bestFit="1"/>
    <col min="109" max="109" style="14" width="9.005" customWidth="1" bestFit="1"/>
    <col min="110" max="110" style="14" width="9.005" customWidth="1" bestFit="1"/>
    <col min="111" max="111" style="14" width="9.005" customWidth="1" bestFit="1"/>
    <col min="112" max="112" style="14" width="9.005" customWidth="1" bestFit="1"/>
    <col min="113" max="113" style="14" width="9.005" customWidth="1" bestFit="1"/>
    <col min="114" max="114" style="14" width="9.005" customWidth="1" bestFit="1"/>
    <col min="115" max="115" style="14" width="9.005" customWidth="1" bestFit="1"/>
    <col min="116" max="116" style="14" width="9.005" customWidth="1" bestFit="1"/>
    <col min="117" max="117" style="15" width="9.005" customWidth="1" bestFit="1"/>
    <col min="118" max="118" style="14" width="9.005" customWidth="1" bestFit="1"/>
    <col min="119" max="119" style="14" width="9.005" customWidth="1" bestFit="1"/>
    <col min="120" max="120" style="14" width="9.005" customWidth="1" bestFit="1"/>
    <col min="121" max="121" style="14" width="9.005" customWidth="1" bestFit="1"/>
    <col min="122" max="122" style="14" width="9.005" customWidth="1" bestFit="1"/>
    <col min="123" max="123" style="14" width="9.005" customWidth="1" bestFit="1"/>
    <col min="124" max="124" style="14" width="9.005" customWidth="1" bestFit="1"/>
    <col min="125" max="125" style="14" width="9.005" customWidth="1" bestFit="1"/>
    <col min="126" max="126" style="14" width="9.005" customWidth="1" bestFit="1"/>
    <col min="127" max="127" style="14" width="9.005" customWidth="1" bestFit="1"/>
    <col min="128" max="128" style="14" width="9.005" customWidth="1" bestFit="1"/>
    <col min="129" max="129" style="14" width="9.005" customWidth="1" bestFit="1"/>
    <col min="130" max="130" style="14" width="9.005" customWidth="1" bestFit="1"/>
    <col min="131" max="131" style="14" width="9.005" customWidth="1" bestFit="1"/>
    <col min="132" max="132" style="14" width="9.005" customWidth="1" bestFit="1"/>
    <col min="133" max="133" style="14" width="9.005" customWidth="1" bestFit="1"/>
    <col min="134" max="134" style="14" width="9.005" customWidth="1" bestFit="1"/>
    <col min="135" max="135" style="14" width="9.005" customWidth="1" bestFit="1"/>
    <col min="136" max="136" style="14" width="9.005" customWidth="1" bestFit="1"/>
    <col min="137" max="137" style="15" width="9.005" customWidth="1" bestFit="1"/>
    <col min="138" max="138" style="14" width="9.005" customWidth="1" bestFit="1"/>
    <col min="139" max="139" style="14" width="9.005" customWidth="1" bestFit="1"/>
    <col min="140" max="140" style="14" width="9.005" customWidth="1" bestFit="1"/>
    <col min="141" max="141" style="14" width="9.005" customWidth="1" bestFit="1"/>
    <col min="142" max="142" style="14" width="9.005" customWidth="1" bestFit="1"/>
    <col min="143" max="143" style="14" width="9.005" customWidth="1" bestFit="1"/>
    <col min="144" max="144" style="14" width="9.005" customWidth="1" bestFit="1"/>
    <col min="145" max="145" style="14" width="9.005" customWidth="1" bestFit="1"/>
    <col min="146" max="146" style="14" width="9.005" customWidth="1" bestFit="1"/>
    <col min="147" max="147" style="14" width="9.005" customWidth="1" bestFit="1"/>
    <col min="148" max="148" style="14" width="9.005" customWidth="1" bestFit="1"/>
    <col min="149" max="149" style="14" width="9.005" customWidth="1" bestFit="1"/>
    <col min="150" max="150" style="14" width="9.005" customWidth="1" bestFit="1"/>
    <col min="151" max="151" style="14" width="9.005" customWidth="1" bestFit="1"/>
    <col min="152" max="152" style="14" width="9.005" customWidth="1" bestFit="1"/>
    <col min="153" max="153" style="14" width="9.005" customWidth="1" bestFit="1"/>
    <col min="154" max="154" style="14" width="9.005" customWidth="1" bestFit="1"/>
    <col min="155" max="155" style="14" width="9.005" customWidth="1" bestFit="1"/>
  </cols>
  <sheetData>
    <row x14ac:dyDescent="0.25" r="1" customHeight="1" ht="18" customFormat="1" s="8">
      <c r="A1" s="9" t="s">
        <v>0</v>
      </c>
      <c r="B1" s="10" t="s">
        <v>19</v>
      </c>
      <c r="C1" s="10" t="s">
        <v>20</v>
      </c>
      <c r="D1" s="10" t="s">
        <v>355</v>
      </c>
      <c r="E1" s="10" t="s">
        <v>356</v>
      </c>
      <c r="F1" s="10" t="s">
        <v>21</v>
      </c>
      <c r="G1" s="10" t="s">
        <v>357</v>
      </c>
      <c r="H1" s="10" t="s">
        <v>358</v>
      </c>
      <c r="I1" s="10" t="s">
        <v>359</v>
      </c>
      <c r="J1" s="10" t="s">
        <v>360</v>
      </c>
      <c r="K1" s="10" t="s">
        <v>24</v>
      </c>
      <c r="L1" s="10" t="s">
        <v>361</v>
      </c>
      <c r="M1" s="10" t="s">
        <v>362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363</v>
      </c>
      <c r="S1" s="10" t="s">
        <v>364</v>
      </c>
      <c r="T1" s="10" t="s">
        <v>365</v>
      </c>
      <c r="U1" s="10" t="s">
        <v>31</v>
      </c>
      <c r="V1" s="10" t="s">
        <v>366</v>
      </c>
      <c r="W1" s="10" t="s">
        <v>367</v>
      </c>
      <c r="X1" s="10" t="s">
        <v>368</v>
      </c>
      <c r="Y1" s="10" t="s">
        <v>369</v>
      </c>
      <c r="Z1" s="10" t="s">
        <v>370</v>
      </c>
      <c r="AA1" s="10" t="s">
        <v>371</v>
      </c>
      <c r="AB1" s="10" t="s">
        <v>34</v>
      </c>
      <c r="AC1" s="10" t="s">
        <v>372</v>
      </c>
      <c r="AD1" s="10" t="s">
        <v>373</v>
      </c>
      <c r="AE1" s="10" t="s">
        <v>374</v>
      </c>
      <c r="AF1" s="10" t="s">
        <v>37</v>
      </c>
      <c r="AG1" s="10" t="s">
        <v>38</v>
      </c>
      <c r="AH1" s="10" t="s">
        <v>39</v>
      </c>
      <c r="AI1" s="11" t="s">
        <v>40</v>
      </c>
      <c r="AJ1" s="10" t="s">
        <v>375</v>
      </c>
      <c r="AK1" s="10" t="s">
        <v>376</v>
      </c>
      <c r="AL1" s="10" t="s">
        <v>377</v>
      </c>
      <c r="AM1" s="10" t="s">
        <v>378</v>
      </c>
      <c r="AN1" s="10" t="s">
        <v>41</v>
      </c>
      <c r="AO1" s="10" t="s">
        <v>379</v>
      </c>
      <c r="AP1" s="10" t="s">
        <v>380</v>
      </c>
      <c r="AQ1" s="10" t="s">
        <v>381</v>
      </c>
      <c r="AR1" s="10" t="s">
        <v>382</v>
      </c>
      <c r="AS1" s="10" t="s">
        <v>383</v>
      </c>
      <c r="AT1" s="10" t="s">
        <v>384</v>
      </c>
      <c r="AU1" s="10" t="s">
        <v>385</v>
      </c>
      <c r="AV1" s="10" t="s">
        <v>386</v>
      </c>
      <c r="AW1" s="10" t="s">
        <v>387</v>
      </c>
      <c r="AX1" s="10" t="s">
        <v>44</v>
      </c>
      <c r="AY1" s="10" t="s">
        <v>388</v>
      </c>
      <c r="AZ1" s="10" t="s">
        <v>389</v>
      </c>
      <c r="BA1" s="10" t="s">
        <v>390</v>
      </c>
      <c r="BB1" s="10" t="s">
        <v>391</v>
      </c>
      <c r="BC1" s="10" t="s">
        <v>392</v>
      </c>
      <c r="BD1" s="10" t="s">
        <v>47</v>
      </c>
      <c r="BE1" s="10" t="s">
        <v>48</v>
      </c>
      <c r="BF1" s="10" t="s">
        <v>49</v>
      </c>
      <c r="BG1" s="11" t="s">
        <v>50</v>
      </c>
      <c r="BH1" s="10" t="s">
        <v>393</v>
      </c>
      <c r="BI1" s="10" t="s">
        <v>394</v>
      </c>
      <c r="BJ1" s="10" t="s">
        <v>395</v>
      </c>
      <c r="BK1" s="10" t="s">
        <v>51</v>
      </c>
      <c r="BL1" s="10" t="s">
        <v>396</v>
      </c>
      <c r="BM1" s="10" t="s">
        <v>397</v>
      </c>
      <c r="BN1" s="10" t="s">
        <v>398</v>
      </c>
      <c r="BO1" s="10" t="s">
        <v>399</v>
      </c>
      <c r="BP1" s="10" t="s">
        <v>400</v>
      </c>
      <c r="BQ1" s="10" t="s">
        <v>401</v>
      </c>
      <c r="BR1" s="10" t="s">
        <v>54</v>
      </c>
      <c r="BS1" s="10" t="s">
        <v>402</v>
      </c>
      <c r="BT1" s="10" t="s">
        <v>403</v>
      </c>
      <c r="BU1" s="10" t="s">
        <v>404</v>
      </c>
      <c r="BV1" s="10" t="s">
        <v>57</v>
      </c>
      <c r="BW1" s="10" t="s">
        <v>58</v>
      </c>
      <c r="BX1" s="10" t="s">
        <v>59</v>
      </c>
      <c r="BY1" s="11" t="s">
        <v>60</v>
      </c>
      <c r="BZ1" s="10" t="s">
        <v>405</v>
      </c>
      <c r="CA1" s="10" t="s">
        <v>406</v>
      </c>
      <c r="CB1" s="10" t="s">
        <v>407</v>
      </c>
      <c r="CC1" s="10" t="s">
        <v>61</v>
      </c>
      <c r="CD1" s="10" t="s">
        <v>408</v>
      </c>
      <c r="CE1" s="10" t="s">
        <v>409</v>
      </c>
      <c r="CF1" s="10" t="s">
        <v>410</v>
      </c>
      <c r="CG1" s="10" t="s">
        <v>411</v>
      </c>
      <c r="CH1" s="10" t="s">
        <v>412</v>
      </c>
      <c r="CI1" s="10" t="s">
        <v>413</v>
      </c>
      <c r="CJ1" s="10" t="s">
        <v>414</v>
      </c>
      <c r="CK1" s="10" t="s">
        <v>64</v>
      </c>
      <c r="CL1" s="10" t="s">
        <v>415</v>
      </c>
      <c r="CM1" s="10" t="s">
        <v>416</v>
      </c>
      <c r="CN1" s="10" t="s">
        <v>417</v>
      </c>
      <c r="CO1" s="10" t="s">
        <v>418</v>
      </c>
      <c r="CP1" s="10" t="s">
        <v>67</v>
      </c>
      <c r="CQ1" s="10" t="s">
        <v>68</v>
      </c>
      <c r="CR1" s="10" t="s">
        <v>69</v>
      </c>
      <c r="CS1" s="11" t="s">
        <v>70</v>
      </c>
      <c r="CT1" s="10" t="s">
        <v>419</v>
      </c>
      <c r="CU1" s="10" t="s">
        <v>420</v>
      </c>
      <c r="CV1" s="10" t="s">
        <v>421</v>
      </c>
      <c r="CW1" s="10" t="s">
        <v>71</v>
      </c>
      <c r="CX1" s="10" t="s">
        <v>422</v>
      </c>
      <c r="CY1" s="10" t="s">
        <v>423</v>
      </c>
      <c r="CZ1" s="10" t="s">
        <v>424</v>
      </c>
      <c r="DA1" s="10" t="s">
        <v>425</v>
      </c>
      <c r="DB1" s="10" t="s">
        <v>426</v>
      </c>
      <c r="DC1" s="10" t="s">
        <v>427</v>
      </c>
      <c r="DD1" s="10" t="s">
        <v>428</v>
      </c>
      <c r="DE1" s="10" t="s">
        <v>74</v>
      </c>
      <c r="DF1" s="10" t="s">
        <v>429</v>
      </c>
      <c r="DG1" s="10" t="s">
        <v>430</v>
      </c>
      <c r="DH1" s="10" t="s">
        <v>431</v>
      </c>
      <c r="DI1" s="10" t="s">
        <v>432</v>
      </c>
      <c r="DJ1" s="10" t="s">
        <v>77</v>
      </c>
      <c r="DK1" s="10" t="s">
        <v>78</v>
      </c>
      <c r="DL1" s="10" t="s">
        <v>79</v>
      </c>
      <c r="DM1" s="11" t="s">
        <v>80</v>
      </c>
      <c r="DN1" s="10" t="s">
        <v>433</v>
      </c>
      <c r="DO1" s="10" t="s">
        <v>434</v>
      </c>
      <c r="DP1" s="10" t="s">
        <v>435</v>
      </c>
      <c r="DQ1" s="10" t="s">
        <v>81</v>
      </c>
      <c r="DR1" s="10" t="s">
        <v>436</v>
      </c>
      <c r="DS1" s="10" t="s">
        <v>437</v>
      </c>
      <c r="DT1" s="10" t="s">
        <v>438</v>
      </c>
      <c r="DU1" s="10" t="s">
        <v>439</v>
      </c>
      <c r="DV1" s="10" t="s">
        <v>440</v>
      </c>
      <c r="DW1" s="10" t="s">
        <v>441</v>
      </c>
      <c r="DX1" s="10" t="s">
        <v>442</v>
      </c>
      <c r="DY1" s="10" t="s">
        <v>84</v>
      </c>
      <c r="DZ1" s="10" t="s">
        <v>443</v>
      </c>
      <c r="EA1" s="10" t="s">
        <v>444</v>
      </c>
      <c r="EB1" s="10" t="s">
        <v>445</v>
      </c>
      <c r="EC1" s="10" t="s">
        <v>446</v>
      </c>
      <c r="ED1" s="10" t="s">
        <v>87</v>
      </c>
      <c r="EE1" s="10" t="s">
        <v>88</v>
      </c>
      <c r="EF1" s="10" t="s">
        <v>89</v>
      </c>
      <c r="EG1" s="11" t="s">
        <v>90</v>
      </c>
      <c r="EH1" s="10" t="s">
        <v>447</v>
      </c>
      <c r="EI1" s="10" t="s">
        <v>448</v>
      </c>
      <c r="EJ1" s="10" t="s">
        <v>449</v>
      </c>
      <c r="EK1" s="10" t="s">
        <v>91</v>
      </c>
      <c r="EL1" s="10" t="s">
        <v>450</v>
      </c>
      <c r="EM1" s="10" t="s">
        <v>451</v>
      </c>
      <c r="EN1" s="10" t="s">
        <v>452</v>
      </c>
      <c r="EO1" s="10" t="s">
        <v>453</v>
      </c>
      <c r="EP1" s="10" t="s">
        <v>454</v>
      </c>
      <c r="EQ1" s="10" t="s">
        <v>455</v>
      </c>
      <c r="ER1" s="10" t="s">
        <v>456</v>
      </c>
      <c r="ES1" s="10" t="s">
        <v>94</v>
      </c>
      <c r="ET1" s="10" t="s">
        <v>457</v>
      </c>
      <c r="EU1" s="10" t="s">
        <v>458</v>
      </c>
      <c r="EV1" s="10" t="s">
        <v>459</v>
      </c>
      <c r="EW1" s="10" t="s">
        <v>460</v>
      </c>
      <c r="EX1" s="10" t="s">
        <v>97</v>
      </c>
      <c r="EY1" s="10" t="s">
        <v>98</v>
      </c>
    </row>
    <row x14ac:dyDescent="0.25" r="2" customHeight="1" ht="18" customFormat="1" s="8">
      <c r="A2" s="9" t="s">
        <v>461</v>
      </c>
      <c r="B2" s="12">
        <v>7371</v>
      </c>
      <c r="C2" s="10" t="s">
        <v>462</v>
      </c>
      <c r="D2" s="12">
        <v>240</v>
      </c>
      <c r="E2" s="12">
        <v>3120</v>
      </c>
      <c r="F2" s="12">
        <v>30000</v>
      </c>
      <c r="G2" s="12">
        <v>240</v>
      </c>
      <c r="H2" s="12">
        <v>240</v>
      </c>
      <c r="I2" s="12">
        <v>17378</v>
      </c>
      <c r="J2" s="12">
        <v>69576</v>
      </c>
      <c r="K2" s="12">
        <v>1349587</v>
      </c>
      <c r="L2" s="12">
        <v>17378</v>
      </c>
      <c r="M2" s="12">
        <v>49689</v>
      </c>
      <c r="N2" s="12">
        <v>33840</v>
      </c>
      <c r="O2" s="12">
        <v>1503609</v>
      </c>
      <c r="P2" s="12">
        <v>19065</v>
      </c>
      <c r="Q2" s="10" t="s">
        <v>463</v>
      </c>
      <c r="R2" s="12">
        <v>240</v>
      </c>
      <c r="S2" s="12">
        <v>43680</v>
      </c>
      <c r="T2" s="12">
        <v>3120</v>
      </c>
      <c r="U2" s="12">
        <v>30000</v>
      </c>
      <c r="V2" s="12">
        <v>240</v>
      </c>
      <c r="W2" s="12">
        <v>240</v>
      </c>
      <c r="X2" s="12">
        <v>24480</v>
      </c>
      <c r="Y2" s="12">
        <v>17378</v>
      </c>
      <c r="Z2" s="12">
        <v>1528800</v>
      </c>
      <c r="AA2" s="12">
        <v>69576</v>
      </c>
      <c r="AB2" s="12">
        <v>1349587</v>
      </c>
      <c r="AC2" s="12">
        <v>17378</v>
      </c>
      <c r="AD2" s="12">
        <v>49689</v>
      </c>
      <c r="AE2" s="12">
        <v>856800</v>
      </c>
      <c r="AF2" s="12">
        <v>102000</v>
      </c>
      <c r="AG2" s="12">
        <v>3889209</v>
      </c>
      <c r="AH2" s="12">
        <v>72410</v>
      </c>
      <c r="AI2" s="11" t="s">
        <v>464</v>
      </c>
      <c r="AJ2" s="12">
        <v>45360</v>
      </c>
      <c r="AK2" s="12">
        <v>240</v>
      </c>
      <c r="AL2" s="12">
        <v>43680</v>
      </c>
      <c r="AM2" s="12">
        <v>3120</v>
      </c>
      <c r="AN2" s="12">
        <v>30000</v>
      </c>
      <c r="AO2" s="12">
        <v>240</v>
      </c>
      <c r="AP2" s="12">
        <v>13680</v>
      </c>
      <c r="AQ2" s="12">
        <v>240</v>
      </c>
      <c r="AR2" s="12">
        <v>24480</v>
      </c>
      <c r="AS2" s="12">
        <v>65040</v>
      </c>
      <c r="AT2" s="12">
        <v>3333960</v>
      </c>
      <c r="AU2" s="12">
        <v>17378</v>
      </c>
      <c r="AV2" s="12">
        <v>1528800</v>
      </c>
      <c r="AW2" s="12">
        <v>69576</v>
      </c>
      <c r="AX2" s="12">
        <v>1349587</v>
      </c>
      <c r="AY2" s="12">
        <v>17378</v>
      </c>
      <c r="AZ2" s="12">
        <v>1480176</v>
      </c>
      <c r="BA2" s="12">
        <v>49689</v>
      </c>
      <c r="BB2" s="12">
        <v>856800</v>
      </c>
      <c r="BC2" s="12">
        <v>6068232</v>
      </c>
      <c r="BD2" s="12">
        <v>226080</v>
      </c>
      <c r="BE2" s="12">
        <v>14771577</v>
      </c>
      <c r="BF2" s="12">
        <v>76192</v>
      </c>
      <c r="BG2" s="11" t="s">
        <v>308</v>
      </c>
      <c r="BH2" s="12">
        <v>34800</v>
      </c>
      <c r="BI2" s="12">
        <v>240</v>
      </c>
      <c r="BJ2" s="12">
        <v>3120</v>
      </c>
      <c r="BK2" s="12">
        <v>12240</v>
      </c>
      <c r="BL2" s="12">
        <v>34320</v>
      </c>
      <c r="BM2" s="12">
        <v>0</v>
      </c>
      <c r="BN2" s="12">
        <v>92640</v>
      </c>
      <c r="BO2" s="12">
        <v>2557800</v>
      </c>
      <c r="BP2" s="12">
        <v>8400</v>
      </c>
      <c r="BQ2" s="12">
        <v>69576</v>
      </c>
      <c r="BR2" s="12">
        <v>550631</v>
      </c>
      <c r="BS2" s="12">
        <v>3713424</v>
      </c>
      <c r="BT2" s="12">
        <v>0</v>
      </c>
      <c r="BU2" s="12">
        <v>8643311</v>
      </c>
      <c r="BV2" s="12">
        <v>177360</v>
      </c>
      <c r="BW2" s="12">
        <v>15543143</v>
      </c>
      <c r="BX2" s="12">
        <v>76180</v>
      </c>
      <c r="BY2" s="11" t="s">
        <v>465</v>
      </c>
      <c r="BZ2" s="12">
        <v>12240</v>
      </c>
      <c r="CA2" s="12">
        <v>0</v>
      </c>
      <c r="CB2" s="12">
        <v>2880</v>
      </c>
      <c r="CC2" s="12">
        <v>24960</v>
      </c>
      <c r="CD2" s="12">
        <v>34320</v>
      </c>
      <c r="CE2" s="12">
        <v>0</v>
      </c>
      <c r="CF2" s="12">
        <v>99600</v>
      </c>
      <c r="CG2" s="12">
        <v>4800</v>
      </c>
      <c r="CH2" s="12">
        <v>899640</v>
      </c>
      <c r="CI2" s="12">
        <v>0</v>
      </c>
      <c r="CJ2" s="12">
        <v>64224</v>
      </c>
      <c r="CK2" s="12">
        <v>1122856</v>
      </c>
      <c r="CL2" s="12">
        <v>3713424</v>
      </c>
      <c r="CM2" s="12">
        <v>0</v>
      </c>
      <c r="CN2" s="12">
        <v>9292680</v>
      </c>
      <c r="CO2" s="12">
        <v>447840</v>
      </c>
      <c r="CP2" s="12">
        <v>178800</v>
      </c>
      <c r="CQ2" s="12">
        <v>15540664</v>
      </c>
      <c r="CR2" s="12">
        <v>76207</v>
      </c>
      <c r="CS2" s="11" t="s">
        <v>109</v>
      </c>
      <c r="CT2" s="12">
        <v>0</v>
      </c>
      <c r="CU2" s="12">
        <v>0</v>
      </c>
      <c r="CV2" s="12">
        <v>240</v>
      </c>
      <c r="CW2" s="12">
        <v>39840</v>
      </c>
      <c r="CX2" s="12">
        <v>0</v>
      </c>
      <c r="CY2" s="12">
        <v>0</v>
      </c>
      <c r="CZ2" s="12">
        <v>147360</v>
      </c>
      <c r="DA2" s="12">
        <v>0</v>
      </c>
      <c r="DB2" s="12">
        <v>0</v>
      </c>
      <c r="DC2" s="12">
        <v>0</v>
      </c>
      <c r="DD2" s="12">
        <v>5352</v>
      </c>
      <c r="DE2" s="12">
        <v>1792252</v>
      </c>
      <c r="DF2" s="12">
        <v>0</v>
      </c>
      <c r="DG2" s="12">
        <v>0</v>
      </c>
      <c r="DH2" s="12">
        <v>13748688</v>
      </c>
      <c r="DI2" s="12">
        <v>0</v>
      </c>
      <c r="DJ2" s="12">
        <v>187440</v>
      </c>
      <c r="DK2" s="12">
        <v>15546292</v>
      </c>
      <c r="DL2" s="12">
        <v>76195</v>
      </c>
      <c r="DM2" s="11" t="s">
        <v>466</v>
      </c>
      <c r="DN2" s="12">
        <v>0</v>
      </c>
      <c r="DO2" s="12">
        <v>0</v>
      </c>
      <c r="DP2" s="12">
        <v>720</v>
      </c>
      <c r="DQ2" s="12">
        <v>67920</v>
      </c>
      <c r="DR2" s="12">
        <v>0</v>
      </c>
      <c r="DS2" s="12">
        <v>0</v>
      </c>
      <c r="DT2" s="12">
        <v>133680</v>
      </c>
      <c r="DU2" s="12">
        <v>0</v>
      </c>
      <c r="DV2" s="12">
        <v>0</v>
      </c>
      <c r="DW2" s="12">
        <v>0</v>
      </c>
      <c r="DX2" s="12">
        <v>16056</v>
      </c>
      <c r="DY2" s="12">
        <v>3055466</v>
      </c>
      <c r="DZ2" s="12">
        <v>0</v>
      </c>
      <c r="EA2" s="12">
        <v>0</v>
      </c>
      <c r="EB2" s="12">
        <v>12472344</v>
      </c>
      <c r="EC2" s="12">
        <v>0</v>
      </c>
      <c r="ED2" s="12">
        <v>202320</v>
      </c>
      <c r="EE2" s="12">
        <v>15543866</v>
      </c>
      <c r="EF2" s="12">
        <v>76209</v>
      </c>
      <c r="EG2" s="11" t="s">
        <v>467</v>
      </c>
      <c r="EH2" s="12">
        <v>0</v>
      </c>
      <c r="EI2" s="12">
        <v>0</v>
      </c>
      <c r="EJ2" s="12">
        <v>0</v>
      </c>
      <c r="EK2" s="12">
        <v>49920</v>
      </c>
      <c r="EL2" s="12">
        <v>0</v>
      </c>
      <c r="EM2" s="12">
        <v>0</v>
      </c>
      <c r="EN2" s="12">
        <v>142560</v>
      </c>
      <c r="EO2" s="12">
        <v>0</v>
      </c>
      <c r="EP2" s="12">
        <v>0</v>
      </c>
      <c r="EQ2" s="12">
        <v>0</v>
      </c>
      <c r="ER2" s="12">
        <v>0</v>
      </c>
      <c r="ES2" s="12">
        <v>2245713</v>
      </c>
      <c r="ET2" s="12">
        <v>0</v>
      </c>
      <c r="EU2" s="12">
        <v>0</v>
      </c>
      <c r="EV2" s="12">
        <v>13300848</v>
      </c>
      <c r="EW2" s="12">
        <v>0</v>
      </c>
      <c r="EX2" s="12">
        <v>192480</v>
      </c>
      <c r="EY2" s="12">
        <v>15546561</v>
      </c>
    </row>
    <row x14ac:dyDescent="0.25" r="3" customHeight="1" ht="18" customFormat="1" s="8">
      <c r="A3" s="9" t="s">
        <v>468</v>
      </c>
      <c r="B3" s="12">
        <v>0</v>
      </c>
      <c r="C3" s="10" t="s">
        <v>112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0" t="s">
        <v>112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1" t="s">
        <v>112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56272</v>
      </c>
      <c r="BG3" s="11" t="s">
        <v>469</v>
      </c>
      <c r="BH3" s="12">
        <v>85440</v>
      </c>
      <c r="BI3" s="12">
        <v>95040</v>
      </c>
      <c r="BJ3" s="12">
        <v>0</v>
      </c>
      <c r="BK3" s="12">
        <v>0</v>
      </c>
      <c r="BL3" s="12">
        <v>0</v>
      </c>
      <c r="BM3" s="12">
        <v>53520</v>
      </c>
      <c r="BN3" s="12">
        <v>0</v>
      </c>
      <c r="BO3" s="12">
        <v>6279840</v>
      </c>
      <c r="BP3" s="12">
        <v>3326400</v>
      </c>
      <c r="BQ3" s="12">
        <v>0</v>
      </c>
      <c r="BR3" s="12">
        <v>0</v>
      </c>
      <c r="BS3" s="12">
        <v>0</v>
      </c>
      <c r="BT3" s="12">
        <v>1873200</v>
      </c>
      <c r="BU3" s="12">
        <v>0</v>
      </c>
      <c r="BV3" s="12">
        <v>234000</v>
      </c>
      <c r="BW3" s="12">
        <v>11479440</v>
      </c>
      <c r="BX3" s="12">
        <v>71359</v>
      </c>
      <c r="BY3" s="11" t="s">
        <v>470</v>
      </c>
      <c r="BZ3" s="12">
        <v>127200</v>
      </c>
      <c r="CA3" s="12">
        <v>95280</v>
      </c>
      <c r="CB3" s="12">
        <v>0</v>
      </c>
      <c r="CC3" s="12">
        <v>0</v>
      </c>
      <c r="CD3" s="12">
        <v>0</v>
      </c>
      <c r="CE3" s="12">
        <v>53520</v>
      </c>
      <c r="CF3" s="12">
        <v>0</v>
      </c>
      <c r="CG3" s="12">
        <v>0</v>
      </c>
      <c r="CH3" s="12">
        <v>9349200</v>
      </c>
      <c r="CI3" s="12">
        <v>3334800</v>
      </c>
      <c r="CJ3" s="12">
        <v>0</v>
      </c>
      <c r="CK3" s="12">
        <v>0</v>
      </c>
      <c r="CL3" s="12">
        <v>0</v>
      </c>
      <c r="CM3" s="12">
        <v>1873200</v>
      </c>
      <c r="CN3" s="12">
        <v>0</v>
      </c>
      <c r="CO3" s="12">
        <v>0</v>
      </c>
      <c r="CP3" s="12">
        <v>276000</v>
      </c>
      <c r="CQ3" s="12">
        <v>14557200</v>
      </c>
      <c r="CR3" s="12">
        <v>76210</v>
      </c>
      <c r="CS3" s="11" t="s">
        <v>467</v>
      </c>
      <c r="CT3" s="12">
        <v>127440</v>
      </c>
      <c r="CU3" s="12">
        <v>0</v>
      </c>
      <c r="CV3" s="12">
        <v>2160</v>
      </c>
      <c r="CW3" s="12">
        <v>0</v>
      </c>
      <c r="CX3" s="12">
        <v>34320</v>
      </c>
      <c r="CY3" s="12">
        <v>0</v>
      </c>
      <c r="CZ3" s="12">
        <v>6000</v>
      </c>
      <c r="DA3" s="12">
        <v>19920</v>
      </c>
      <c r="DB3" s="12">
        <v>9366840</v>
      </c>
      <c r="DC3" s="12">
        <v>0</v>
      </c>
      <c r="DD3" s="12">
        <v>48168</v>
      </c>
      <c r="DE3" s="12">
        <v>0</v>
      </c>
      <c r="DF3" s="12">
        <v>3713424</v>
      </c>
      <c r="DG3" s="12">
        <v>0</v>
      </c>
      <c r="DH3" s="12">
        <v>559800</v>
      </c>
      <c r="DI3" s="12">
        <v>1858536</v>
      </c>
      <c r="DJ3" s="12">
        <v>189840</v>
      </c>
      <c r="DK3" s="12">
        <v>15546768</v>
      </c>
      <c r="DL3" s="12">
        <v>76196</v>
      </c>
      <c r="DM3" s="11" t="s">
        <v>466</v>
      </c>
      <c r="DN3" s="12">
        <v>69360</v>
      </c>
      <c r="DO3" s="12">
        <v>0</v>
      </c>
      <c r="DP3" s="12">
        <v>1680</v>
      </c>
      <c r="DQ3" s="12">
        <v>0</v>
      </c>
      <c r="DR3" s="12">
        <v>34320</v>
      </c>
      <c r="DS3" s="12">
        <v>0</v>
      </c>
      <c r="DT3" s="12">
        <v>31920</v>
      </c>
      <c r="DU3" s="12">
        <v>39840</v>
      </c>
      <c r="DV3" s="12">
        <v>5097960</v>
      </c>
      <c r="DW3" s="12">
        <v>0</v>
      </c>
      <c r="DX3" s="12">
        <v>37464</v>
      </c>
      <c r="DY3" s="12">
        <v>0</v>
      </c>
      <c r="DZ3" s="12">
        <v>3713424</v>
      </c>
      <c r="EA3" s="12">
        <v>0</v>
      </c>
      <c r="EB3" s="12">
        <v>2978136</v>
      </c>
      <c r="EC3" s="12">
        <v>3717072</v>
      </c>
      <c r="ED3" s="12">
        <v>177120</v>
      </c>
      <c r="EE3" s="12">
        <v>15544056</v>
      </c>
      <c r="EF3" s="12">
        <v>76185</v>
      </c>
      <c r="EG3" s="11" t="s">
        <v>308</v>
      </c>
      <c r="EH3" s="12">
        <v>16320</v>
      </c>
      <c r="EI3" s="12">
        <v>0</v>
      </c>
      <c r="EJ3" s="12">
        <v>1680</v>
      </c>
      <c r="EK3" s="12">
        <v>0</v>
      </c>
      <c r="EL3" s="12">
        <v>34320</v>
      </c>
      <c r="EM3" s="12">
        <v>0</v>
      </c>
      <c r="EN3" s="12">
        <v>38640</v>
      </c>
      <c r="EO3" s="12">
        <v>74880</v>
      </c>
      <c r="EP3" s="12">
        <v>1199520</v>
      </c>
      <c r="EQ3" s="12">
        <v>0</v>
      </c>
      <c r="ER3" s="12">
        <v>37464</v>
      </c>
      <c r="ES3" s="12">
        <v>0</v>
      </c>
      <c r="ET3" s="12">
        <v>3713424</v>
      </c>
      <c r="EU3" s="12">
        <v>0</v>
      </c>
      <c r="EV3" s="12">
        <v>3605112</v>
      </c>
      <c r="EW3" s="12">
        <v>6986304</v>
      </c>
      <c r="EX3" s="12">
        <v>165840</v>
      </c>
      <c r="EY3" s="12">
        <v>15541824</v>
      </c>
    </row>
    <row x14ac:dyDescent="0.25" r="4" customHeight="1" ht="18" customFormat="1" s="8">
      <c r="A4" s="9" t="s">
        <v>471</v>
      </c>
      <c r="B4" s="12">
        <v>0</v>
      </c>
      <c r="C4" s="10" t="s">
        <v>112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0" t="s">
        <v>112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1" t="s">
        <v>112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1" t="s">
        <v>112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1" t="s">
        <v>112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30977</v>
      </c>
      <c r="CS4" s="11" t="s">
        <v>472</v>
      </c>
      <c r="CT4" s="12">
        <v>15120</v>
      </c>
      <c r="CU4" s="12">
        <v>95280</v>
      </c>
      <c r="CV4" s="12">
        <v>0</v>
      </c>
      <c r="CW4" s="12">
        <v>0</v>
      </c>
      <c r="CX4" s="12">
        <v>0</v>
      </c>
      <c r="CY4" s="12">
        <v>53520</v>
      </c>
      <c r="CZ4" s="12">
        <v>0</v>
      </c>
      <c r="DA4" s="12">
        <v>0</v>
      </c>
      <c r="DB4" s="12">
        <v>1111320</v>
      </c>
      <c r="DC4" s="12">
        <v>3334800</v>
      </c>
      <c r="DD4" s="12">
        <v>0</v>
      </c>
      <c r="DE4" s="12">
        <v>0</v>
      </c>
      <c r="DF4" s="12">
        <v>0</v>
      </c>
      <c r="DG4" s="12">
        <v>1873200</v>
      </c>
      <c r="DH4" s="12">
        <v>0</v>
      </c>
      <c r="DI4" s="12">
        <v>0</v>
      </c>
      <c r="DJ4" s="12">
        <v>163920</v>
      </c>
      <c r="DK4" s="12">
        <v>6319320</v>
      </c>
      <c r="DL4" s="12">
        <v>55881</v>
      </c>
      <c r="DM4" s="11" t="s">
        <v>473</v>
      </c>
      <c r="DN4" s="12">
        <v>84240</v>
      </c>
      <c r="DO4" s="12">
        <v>95280</v>
      </c>
      <c r="DP4" s="12">
        <v>0</v>
      </c>
      <c r="DQ4" s="12">
        <v>0</v>
      </c>
      <c r="DR4" s="12">
        <v>0</v>
      </c>
      <c r="DS4" s="12">
        <v>53520</v>
      </c>
      <c r="DT4" s="12">
        <v>0</v>
      </c>
      <c r="DU4" s="12">
        <v>0</v>
      </c>
      <c r="DV4" s="12">
        <v>6191640</v>
      </c>
      <c r="DW4" s="12">
        <v>3334800</v>
      </c>
      <c r="DX4" s="12">
        <v>0</v>
      </c>
      <c r="DY4" s="12">
        <v>0</v>
      </c>
      <c r="DZ4" s="12">
        <v>0</v>
      </c>
      <c r="EA4" s="12">
        <v>1873200</v>
      </c>
      <c r="EB4" s="12">
        <v>0</v>
      </c>
      <c r="EC4" s="12">
        <v>0</v>
      </c>
      <c r="ED4" s="12">
        <v>233040</v>
      </c>
      <c r="EE4" s="12">
        <v>11399640</v>
      </c>
      <c r="EF4" s="12">
        <v>62625</v>
      </c>
      <c r="EG4" s="11" t="s">
        <v>474</v>
      </c>
      <c r="EH4" s="12">
        <v>102960</v>
      </c>
      <c r="EI4" s="12">
        <v>95280</v>
      </c>
      <c r="EJ4" s="12">
        <v>0</v>
      </c>
      <c r="EK4" s="12">
        <v>0</v>
      </c>
      <c r="EL4" s="12">
        <v>0</v>
      </c>
      <c r="EM4" s="12">
        <v>53520</v>
      </c>
      <c r="EN4" s="12">
        <v>0</v>
      </c>
      <c r="EO4" s="12">
        <v>0</v>
      </c>
      <c r="EP4" s="12">
        <v>7567560</v>
      </c>
      <c r="EQ4" s="12">
        <v>3334800</v>
      </c>
      <c r="ER4" s="12">
        <v>0</v>
      </c>
      <c r="ES4" s="12">
        <v>0</v>
      </c>
      <c r="ET4" s="12">
        <v>0</v>
      </c>
      <c r="EU4" s="12">
        <v>1873200</v>
      </c>
      <c r="EV4" s="12">
        <v>0</v>
      </c>
      <c r="EW4" s="12">
        <v>0</v>
      </c>
      <c r="EX4" s="12">
        <v>251760</v>
      </c>
      <c r="EY4" s="12">
        <v>12775560</v>
      </c>
    </row>
    <row x14ac:dyDescent="0.25" r="5" customHeight="1" ht="18" customFormat="1" s="8">
      <c r="A5" s="9" t="s">
        <v>475</v>
      </c>
      <c r="B5" s="12">
        <v>0</v>
      </c>
      <c r="C5" s="10" t="s">
        <v>112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0" t="s">
        <v>112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1" t="s">
        <v>112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1" t="s">
        <v>112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1" t="s">
        <v>112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1" t="s">
        <v>112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1" t="s">
        <v>112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1" t="s">
        <v>112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</row>
    <row x14ac:dyDescent="0.25" r="6" customHeight="1" ht="18" customFormat="1" s="8">
      <c r="A6" s="9" t="s">
        <v>476</v>
      </c>
      <c r="B6" s="12">
        <v>0</v>
      </c>
      <c r="C6" s="10" t="s">
        <v>112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0" t="s">
        <v>112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1" t="s">
        <v>112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1" t="s">
        <v>112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1" t="s">
        <v>112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1" t="s">
        <v>112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1" t="s">
        <v>112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1" t="s">
        <v>112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</row>
    <row x14ac:dyDescent="0.25" r="7" customHeight="1" ht="18">
      <c r="A7" s="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9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9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9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9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9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9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</row>
    <row x14ac:dyDescent="0.25" r="8" customHeight="1" ht="18">
      <c r="A8" s="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9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9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9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9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9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9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</row>
    <row x14ac:dyDescent="0.25" r="9" customHeight="1" ht="18">
      <c r="A9" s="1" t="s">
        <v>130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9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9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9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9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9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9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</row>
    <row x14ac:dyDescent="0.25" r="10" customHeight="1" ht="18" customFormat="1" s="8">
      <c r="A10" s="9" t="s">
        <v>0</v>
      </c>
      <c r="B10" s="10" t="s">
        <v>27</v>
      </c>
      <c r="C10" s="10" t="s">
        <v>37</v>
      </c>
      <c r="D10" s="10" t="s">
        <v>47</v>
      </c>
      <c r="E10" s="10" t="s">
        <v>57</v>
      </c>
      <c r="F10" s="10" t="s">
        <v>67</v>
      </c>
      <c r="G10" s="10" t="s">
        <v>77</v>
      </c>
      <c r="H10" s="10" t="s">
        <v>87</v>
      </c>
      <c r="I10" s="10" t="s">
        <v>97</v>
      </c>
      <c r="J10" s="10" t="s">
        <v>28</v>
      </c>
      <c r="K10" s="10" t="s">
        <v>38</v>
      </c>
      <c r="L10" s="10" t="s">
        <v>48</v>
      </c>
      <c r="M10" s="10" t="s">
        <v>58</v>
      </c>
      <c r="N10" s="10" t="s">
        <v>68</v>
      </c>
      <c r="O10" s="10" t="s">
        <v>78</v>
      </c>
      <c r="P10" s="10" t="s">
        <v>88</v>
      </c>
      <c r="Q10" s="10" t="s">
        <v>98</v>
      </c>
      <c r="R10" s="10" t="s">
        <v>20</v>
      </c>
      <c r="S10" s="10" t="s">
        <v>30</v>
      </c>
      <c r="T10" s="10" t="s">
        <v>40</v>
      </c>
      <c r="U10" s="10" t="s">
        <v>50</v>
      </c>
      <c r="V10" s="10" t="s">
        <v>60</v>
      </c>
      <c r="W10" s="10" t="s">
        <v>70</v>
      </c>
      <c r="X10" s="10" t="s">
        <v>80</v>
      </c>
      <c r="Y10" s="10" t="s">
        <v>90</v>
      </c>
      <c r="Z10" s="13"/>
      <c r="AA10" s="13"/>
      <c r="AB10" s="13"/>
      <c r="AC10" s="13"/>
      <c r="AD10" s="13"/>
      <c r="AE10" s="13"/>
      <c r="AF10" s="13"/>
      <c r="AG10" s="13"/>
      <c r="AH10" s="13"/>
      <c r="AI10" s="9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9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9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9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9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9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</row>
    <row x14ac:dyDescent="0.25" r="11" customHeight="1" ht="18" customFormat="1" s="8">
      <c r="A11" s="9" t="s">
        <v>461</v>
      </c>
      <c r="B11" s="12">
        <v>33840</v>
      </c>
      <c r="C11" s="12">
        <v>102000</v>
      </c>
      <c r="D11" s="12">
        <v>226080</v>
      </c>
      <c r="E11" s="12">
        <v>177360</v>
      </c>
      <c r="F11" s="12">
        <v>178800</v>
      </c>
      <c r="G11" s="12">
        <v>187440</v>
      </c>
      <c r="H11" s="12">
        <v>202320</v>
      </c>
      <c r="I11" s="12">
        <v>192480</v>
      </c>
      <c r="J11" s="12">
        <v>1503609</v>
      </c>
      <c r="K11" s="12">
        <v>3889209</v>
      </c>
      <c r="L11" s="12">
        <v>14771577</v>
      </c>
      <c r="M11" s="12">
        <v>15543143</v>
      </c>
      <c r="N11" s="12">
        <v>15540664</v>
      </c>
      <c r="O11" s="12">
        <v>15546292</v>
      </c>
      <c r="P11" s="12">
        <v>15543866</v>
      </c>
      <c r="Q11" s="12">
        <v>15546561</v>
      </c>
      <c r="R11" s="10" t="s">
        <v>462</v>
      </c>
      <c r="S11" s="10" t="s">
        <v>463</v>
      </c>
      <c r="T11" s="10" t="s">
        <v>464</v>
      </c>
      <c r="U11" s="10" t="s">
        <v>308</v>
      </c>
      <c r="V11" s="10" t="s">
        <v>465</v>
      </c>
      <c r="W11" s="10" t="s">
        <v>109</v>
      </c>
      <c r="X11" s="10" t="s">
        <v>466</v>
      </c>
      <c r="Y11" s="10" t="s">
        <v>467</v>
      </c>
      <c r="Z11" s="13"/>
      <c r="AA11" s="13"/>
      <c r="AB11" s="13"/>
      <c r="AC11" s="13"/>
      <c r="AD11" s="13"/>
      <c r="AE11" s="13"/>
      <c r="AF11" s="13"/>
      <c r="AG11" s="13"/>
      <c r="AH11" s="13"/>
      <c r="AI11" s="9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9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9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9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9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9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</row>
    <row x14ac:dyDescent="0.25" r="12" customHeight="1" ht="18" customFormat="1" s="8">
      <c r="A12" s="9" t="s">
        <v>468</v>
      </c>
      <c r="B12" s="12">
        <v>0</v>
      </c>
      <c r="C12" s="12">
        <v>0</v>
      </c>
      <c r="D12" s="12">
        <v>0</v>
      </c>
      <c r="E12" s="12">
        <v>234000</v>
      </c>
      <c r="F12" s="12">
        <v>276000</v>
      </c>
      <c r="G12" s="12">
        <v>189840</v>
      </c>
      <c r="H12" s="12">
        <v>177120</v>
      </c>
      <c r="I12" s="12">
        <v>165840</v>
      </c>
      <c r="J12" s="12">
        <v>0</v>
      </c>
      <c r="K12" s="12">
        <v>0</v>
      </c>
      <c r="L12" s="12">
        <v>0</v>
      </c>
      <c r="M12" s="12">
        <v>11479440</v>
      </c>
      <c r="N12" s="12">
        <v>14557200</v>
      </c>
      <c r="O12" s="12">
        <v>15546768</v>
      </c>
      <c r="P12" s="12">
        <v>15544056</v>
      </c>
      <c r="Q12" s="12">
        <v>15541824</v>
      </c>
      <c r="R12" s="10" t="s">
        <v>112</v>
      </c>
      <c r="S12" s="10" t="s">
        <v>112</v>
      </c>
      <c r="T12" s="10" t="s">
        <v>112</v>
      </c>
      <c r="U12" s="10" t="s">
        <v>469</v>
      </c>
      <c r="V12" s="10" t="s">
        <v>470</v>
      </c>
      <c r="W12" s="10" t="s">
        <v>467</v>
      </c>
      <c r="X12" s="10" t="s">
        <v>466</v>
      </c>
      <c r="Y12" s="10" t="s">
        <v>308</v>
      </c>
      <c r="Z12" s="13"/>
      <c r="AA12" s="13"/>
      <c r="AB12" s="13"/>
      <c r="AC12" s="13"/>
      <c r="AD12" s="13"/>
      <c r="AE12" s="13"/>
      <c r="AF12" s="13"/>
      <c r="AG12" s="13"/>
      <c r="AH12" s="13"/>
      <c r="AI12" s="9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9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9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9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9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9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</row>
    <row x14ac:dyDescent="0.25" r="13" customHeight="1" ht="18" customFormat="1" s="8">
      <c r="A13" s="9" t="s">
        <v>471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163920</v>
      </c>
      <c r="H13" s="12">
        <v>233040</v>
      </c>
      <c r="I13" s="12">
        <v>251760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6319320</v>
      </c>
      <c r="P13" s="12">
        <v>11399640</v>
      </c>
      <c r="Q13" s="12">
        <v>12775560</v>
      </c>
      <c r="R13" s="10" t="s">
        <v>112</v>
      </c>
      <c r="S13" s="10" t="s">
        <v>112</v>
      </c>
      <c r="T13" s="10" t="s">
        <v>112</v>
      </c>
      <c r="U13" s="10" t="s">
        <v>112</v>
      </c>
      <c r="V13" s="10" t="s">
        <v>112</v>
      </c>
      <c r="W13" s="10" t="s">
        <v>472</v>
      </c>
      <c r="X13" s="10" t="s">
        <v>473</v>
      </c>
      <c r="Y13" s="10" t="s">
        <v>474</v>
      </c>
      <c r="Z13" s="13"/>
      <c r="AA13" s="13"/>
      <c r="AB13" s="13"/>
      <c r="AC13" s="13"/>
      <c r="AD13" s="13"/>
      <c r="AE13" s="13"/>
      <c r="AF13" s="13"/>
      <c r="AG13" s="13"/>
      <c r="AH13" s="13"/>
      <c r="AI13" s="9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9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9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9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9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9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</row>
    <row x14ac:dyDescent="0.25" r="14" customHeight="1" ht="18" customFormat="1" s="8">
      <c r="A14" s="9" t="s">
        <v>475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0" t="s">
        <v>112</v>
      </c>
      <c r="S14" s="10" t="s">
        <v>112</v>
      </c>
      <c r="T14" s="10" t="s">
        <v>112</v>
      </c>
      <c r="U14" s="10" t="s">
        <v>112</v>
      </c>
      <c r="V14" s="10" t="s">
        <v>112</v>
      </c>
      <c r="W14" s="10" t="s">
        <v>112</v>
      </c>
      <c r="X14" s="10" t="s">
        <v>112</v>
      </c>
      <c r="Y14" s="10" t="s">
        <v>112</v>
      </c>
      <c r="Z14" s="13"/>
      <c r="AA14" s="13"/>
      <c r="AB14" s="13"/>
      <c r="AC14" s="13"/>
      <c r="AD14" s="13"/>
      <c r="AE14" s="13"/>
      <c r="AF14" s="13"/>
      <c r="AG14" s="13"/>
      <c r="AH14" s="13"/>
      <c r="AI14" s="9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9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9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9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9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9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</row>
    <row x14ac:dyDescent="0.25" r="15" customHeight="1" ht="18" customFormat="1" s="8">
      <c r="A15" s="9" t="s">
        <v>476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0" t="s">
        <v>112</v>
      </c>
      <c r="S15" s="10" t="s">
        <v>112</v>
      </c>
      <c r="T15" s="10" t="s">
        <v>112</v>
      </c>
      <c r="U15" s="10" t="s">
        <v>112</v>
      </c>
      <c r="V15" s="10" t="s">
        <v>112</v>
      </c>
      <c r="W15" s="10" t="s">
        <v>112</v>
      </c>
      <c r="X15" s="10" t="s">
        <v>112</v>
      </c>
      <c r="Y15" s="10" t="s">
        <v>112</v>
      </c>
      <c r="Z15" s="13"/>
      <c r="AA15" s="13"/>
      <c r="AB15" s="13"/>
      <c r="AC15" s="13"/>
      <c r="AD15" s="13"/>
      <c r="AE15" s="13"/>
      <c r="AF15" s="13"/>
      <c r="AG15" s="13"/>
      <c r="AH15" s="13"/>
      <c r="AI15" s="9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9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9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9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9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9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</row>
    <row x14ac:dyDescent="0.25" r="16" customHeight="1" ht="18">
      <c r="A16" s="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9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9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9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9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9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9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</row>
    <row x14ac:dyDescent="0.25" r="17" customHeight="1" ht="18">
      <c r="A17" s="1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9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9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9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9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9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</row>
    <row x14ac:dyDescent="0.25" r="18" customHeight="1" ht="18">
      <c r="A18" s="1" t="s">
        <v>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9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9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9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9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9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9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</row>
    <row x14ac:dyDescent="0.25" r="19" customHeight="1" ht="18">
      <c r="A19" s="1" t="s">
        <v>461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9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9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9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9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9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9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</row>
    <row x14ac:dyDescent="0.25" r="20" customHeight="1" ht="18">
      <c r="A20" s="1" t="s">
        <v>468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9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9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9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9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9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9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</row>
    <row x14ac:dyDescent="0.25" r="21" customHeight="1" ht="18">
      <c r="A21" s="1" t="s">
        <v>471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9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9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9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9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9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9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</row>
    <row x14ac:dyDescent="0.25" r="22" customHeight="1" ht="18">
      <c r="A22" s="1" t="s">
        <v>475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9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9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9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9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9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</row>
    <row x14ac:dyDescent="0.25" r="23" customHeight="1" ht="18">
      <c r="A23" s="1" t="s">
        <v>476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9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9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9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9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9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9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E25"/>
  <sheetViews>
    <sheetView workbookViewId="0"/>
  </sheetViews>
  <sheetFormatPr defaultRowHeight="15" x14ac:dyDescent="0.25"/>
  <cols>
    <col min="1" max="1" style="5" width="18.005" customWidth="1" bestFit="1"/>
    <col min="2" max="2" style="6" width="27.005" customWidth="1" bestFit="1"/>
    <col min="3" max="3" style="6" width="27.005" customWidth="1" bestFit="1"/>
    <col min="4" max="4" style="6" width="29.005" customWidth="1" bestFit="1"/>
    <col min="5" max="5" style="6" width="33.005" customWidth="1" bestFit="1"/>
    <col min="6" max="6" style="6" width="27.005" customWidth="1" bestFit="1"/>
    <col min="7" max="7" style="6" width="27.005" customWidth="1" bestFit="1"/>
    <col min="8" max="8" style="6" width="27.005" customWidth="1" bestFit="1"/>
    <col min="9" max="9" style="6" width="33.005" customWidth="1" bestFit="1"/>
    <col min="10" max="10" style="6" width="30.005" customWidth="1" bestFit="1"/>
    <col min="11" max="11" style="6" width="31.005" customWidth="1" bestFit="1"/>
    <col min="12" max="12" style="6" width="35.005" customWidth="1" bestFit="1"/>
    <col min="13" max="13" style="6" width="29.005" customWidth="1" bestFit="1"/>
    <col min="14" max="14" style="6" width="29.005" customWidth="1" bestFit="1"/>
    <col min="15" max="15" style="6" width="29.005" customWidth="1" bestFit="1"/>
    <col min="16" max="16" style="6" width="35.005" customWidth="1" bestFit="1"/>
    <col min="17" max="17" style="6" width="32.005" customWidth="1" bestFit="1"/>
    <col min="18" max="18" style="6" width="29.005" customWidth="1" bestFit="1"/>
    <col min="19" max="19" style="6" width="29.005" customWidth="1" bestFit="1"/>
    <col min="20" max="20" style="6" width="29.005" customWidth="1" bestFit="1"/>
    <col min="21" max="21" style="6" width="29.005" customWidth="1" bestFit="1"/>
    <col min="22" max="22" style="6" width="29.005" customWidth="1" bestFit="1"/>
    <col min="23" max="23" style="6" width="33.005" customWidth="1" bestFit="1"/>
    <col min="24" max="24" style="7" width="26.005" customWidth="1" bestFit="1"/>
    <col min="25" max="25" style="7" width="25.005" customWidth="1" bestFit="1"/>
    <col min="26" max="26" style="7" width="27.005" customWidth="1" bestFit="1"/>
    <col min="27" max="27" style="7" width="33.005" customWidth="1" bestFit="1"/>
    <col min="28" max="28" style="7" width="30.005" customWidth="1" bestFit="1"/>
    <col min="29" max="29" style="7" width="31.005" customWidth="1" bestFit="1"/>
    <col min="30" max="30" style="7" width="35.005" customWidth="1" bestFit="1"/>
    <col min="31" max="31" style="7" width="28.005" customWidth="1" bestFit="1"/>
    <col min="32" max="32" style="7" width="27.005" customWidth="1" bestFit="1"/>
    <col min="33" max="33" style="7" width="29.005" customWidth="1" bestFit="1"/>
    <col min="34" max="34" style="7" width="35.005" customWidth="1" bestFit="1"/>
    <col min="35" max="35" style="7" width="32.005" customWidth="1" bestFit="1"/>
    <col min="36" max="36" style="7" width="27.005" customWidth="1" bestFit="1"/>
    <col min="37" max="37" style="7" width="29.005" customWidth="1" bestFit="1"/>
    <col min="38" max="38" style="7" width="23.005" customWidth="1" bestFit="1"/>
    <col min="39" max="39" style="5" width="22.005" customWidth="1" bestFit="1"/>
    <col min="40" max="40" style="7" width="29.005" customWidth="1" bestFit="1"/>
    <col min="41" max="41" style="7" width="33.005" customWidth="1" bestFit="1"/>
    <col min="42" max="42" style="7" width="26.005" customWidth="1" bestFit="1"/>
    <col min="43" max="43" style="7" width="25.005" customWidth="1" bestFit="1"/>
    <col min="44" max="44" style="7" width="27.005" customWidth="1" bestFit="1"/>
    <col min="45" max="45" style="7" width="33.005" customWidth="1" bestFit="1"/>
    <col min="46" max="46" style="7" width="30.005" customWidth="1" bestFit="1"/>
    <col min="47" max="47" style="7" width="31.005" customWidth="1" bestFit="1"/>
    <col min="48" max="48" style="7" width="35.005" customWidth="1" bestFit="1"/>
    <col min="49" max="49" style="7" width="28.005" customWidth="1" bestFit="1"/>
    <col min="50" max="50" style="7" width="27.005" customWidth="1" bestFit="1"/>
    <col min="51" max="51" style="7" width="29.005" customWidth="1" bestFit="1"/>
    <col min="52" max="52" style="7" width="35.005" customWidth="1" bestFit="1"/>
    <col min="53" max="53" style="7" width="32.005" customWidth="1" bestFit="1"/>
    <col min="54" max="54" style="7" width="27.005" customWidth="1" bestFit="1"/>
    <col min="55" max="55" style="7" width="29.005" customWidth="1" bestFit="1"/>
    <col min="56" max="56" style="7" width="23.005" customWidth="1" bestFit="1"/>
    <col min="57" max="57" style="5" width="22.005" customWidth="1" bestFit="1"/>
    <col min="58" max="58" style="7" width="29.005" customWidth="1" bestFit="1"/>
    <col min="59" max="59" style="7" width="33.005" customWidth="1" bestFit="1"/>
    <col min="60" max="60" style="7" width="26.005" customWidth="1" bestFit="1"/>
    <col min="61" max="61" style="7" width="25.005" customWidth="1" bestFit="1"/>
    <col min="62" max="62" style="7" width="27.005" customWidth="1" bestFit="1"/>
    <col min="63" max="63" style="7" width="33.005" customWidth="1" bestFit="1"/>
    <col min="64" max="64" style="7" width="26.005" customWidth="1" bestFit="1"/>
    <col min="65" max="65" style="7" width="30.005" customWidth="1" bestFit="1"/>
    <col min="66" max="66" style="7" width="30.005" customWidth="1" bestFit="1"/>
    <col min="67" max="67" style="7" width="31.005" customWidth="1" bestFit="1"/>
    <col min="68" max="68" style="7" width="35.005" customWidth="1" bestFit="1"/>
    <col min="69" max="69" style="7" width="28.005" customWidth="1" bestFit="1"/>
    <col min="70" max="70" style="7" width="27.005" customWidth="1" bestFit="1"/>
    <col min="71" max="71" style="7" width="29.005" customWidth="1" bestFit="1"/>
    <col min="72" max="72" style="7" width="35.005" customWidth="1" bestFit="1"/>
    <col min="73" max="73" style="7" width="28.005" customWidth="1" bestFit="1"/>
    <col min="74" max="74" style="7" width="32.005" customWidth="1" bestFit="1"/>
    <col min="75" max="75" style="7" width="32.005" customWidth="1" bestFit="1"/>
    <col min="76" max="76" style="7" width="27.005" customWidth="1" bestFit="1"/>
    <col min="77" max="77" style="7" width="29.005" customWidth="1" bestFit="1"/>
    <col min="78" max="78" style="7" width="23.005" customWidth="1" bestFit="1"/>
    <col min="79" max="79" style="5" width="22.005" customWidth="1" bestFit="1"/>
    <col min="80" max="80" style="7" width="29.005" customWidth="1" bestFit="1"/>
    <col min="81" max="81" style="7" width="33.005" customWidth="1" bestFit="1"/>
    <col min="82" max="82" style="7" width="26.005" customWidth="1" bestFit="1"/>
    <col min="83" max="83" style="7" width="25.005" customWidth="1" bestFit="1"/>
    <col min="84" max="84" style="7" width="27.005" customWidth="1" bestFit="1"/>
    <col min="85" max="85" style="7" width="33.005" customWidth="1" bestFit="1"/>
    <col min="86" max="86" style="7" width="26.005" customWidth="1" bestFit="1"/>
    <col min="87" max="87" style="7" width="30.005" customWidth="1" bestFit="1"/>
    <col min="88" max="88" style="7" width="30.005" customWidth="1" bestFit="1"/>
    <col min="89" max="89" style="7" width="31.005" customWidth="1" bestFit="1"/>
    <col min="90" max="90" style="7" width="35.005" customWidth="1" bestFit="1"/>
    <col min="91" max="91" style="7" width="28.005" customWidth="1" bestFit="1"/>
    <col min="92" max="92" style="7" width="27.005" customWidth="1" bestFit="1"/>
    <col min="93" max="93" style="7" width="29.005" customWidth="1" bestFit="1"/>
    <col min="94" max="94" style="7" width="35.005" customWidth="1" bestFit="1"/>
    <col min="95" max="95" style="7" width="28.005" customWidth="1" bestFit="1"/>
    <col min="96" max="96" style="7" width="32.005" customWidth="1" bestFit="1"/>
    <col min="97" max="97" style="7" width="32.005" customWidth="1" bestFit="1"/>
    <col min="98" max="98" style="7" width="27.005" customWidth="1" bestFit="1"/>
    <col min="99" max="99" style="7" width="29.005" customWidth="1" bestFit="1"/>
    <col min="100" max="100" style="7" width="23.005" customWidth="1" bestFit="1"/>
    <col min="101" max="101" style="5" width="22.005" customWidth="1" bestFit="1"/>
    <col min="102" max="102" style="7" width="29.005" customWidth="1" bestFit="1"/>
    <col min="103" max="103" style="7" width="33.005" customWidth="1" bestFit="1"/>
    <col min="104" max="104" style="7" width="26.005" customWidth="1" bestFit="1"/>
    <col min="105" max="105" style="7" width="25.005" customWidth="1" bestFit="1"/>
    <col min="106" max="106" style="7" width="27.005" customWidth="1" bestFit="1"/>
    <col min="107" max="107" style="7" width="33.005" customWidth="1" bestFit="1"/>
    <col min="108" max="108" style="7" width="26.005" customWidth="1" bestFit="1"/>
    <col min="109" max="109" style="7" width="30.005" customWidth="1" bestFit="1"/>
    <col min="110" max="110" style="7" width="30.005" customWidth="1" bestFit="1"/>
    <col min="111" max="111" style="7" width="31.005" customWidth="1" bestFit="1"/>
    <col min="112" max="112" style="7" width="35.005" customWidth="1" bestFit="1"/>
    <col min="113" max="113" style="7" width="28.005" customWidth="1" bestFit="1"/>
    <col min="114" max="114" style="7" width="27.005" customWidth="1" bestFit="1"/>
    <col min="115" max="115" style="7" width="29.005" customWidth="1" bestFit="1"/>
    <col min="116" max="116" style="7" width="35.005" customWidth="1" bestFit="1"/>
    <col min="117" max="117" style="7" width="28.005" customWidth="1" bestFit="1"/>
    <col min="118" max="118" style="7" width="32.005" customWidth="1" bestFit="1"/>
    <col min="119" max="119" style="7" width="32.005" customWidth="1" bestFit="1"/>
    <col min="120" max="120" style="7" width="27.005" customWidth="1" bestFit="1"/>
    <col min="121" max="121" style="7" width="29.005" customWidth="1" bestFit="1"/>
    <col min="122" max="122" style="7" width="23.005" customWidth="1" bestFit="1"/>
    <col min="123" max="123" style="5" width="22.005" customWidth="1" bestFit="1"/>
    <col min="124" max="124" style="7" width="29.005" customWidth="1" bestFit="1"/>
    <col min="125" max="125" style="7" width="33.005" customWidth="1" bestFit="1"/>
    <col min="126" max="126" style="7" width="26.005" customWidth="1" bestFit="1"/>
    <col min="127" max="127" style="7" width="25.005" customWidth="1" bestFit="1"/>
    <col min="128" max="128" style="7" width="27.005" customWidth="1" bestFit="1"/>
    <col min="129" max="129" style="7" width="33.005" customWidth="1" bestFit="1"/>
    <col min="130" max="130" style="7" width="26.005" customWidth="1" bestFit="1"/>
    <col min="131" max="131" style="7" width="30.005" customWidth="1" bestFit="1"/>
    <col min="132" max="132" style="7" width="30.005" customWidth="1" bestFit="1"/>
    <col min="133" max="133" style="7" width="31.005" customWidth="1" bestFit="1"/>
    <col min="134" max="134" style="7" width="35.005" customWidth="1" bestFit="1"/>
    <col min="135" max="135" style="7" width="28.005" customWidth="1" bestFit="1"/>
    <col min="136" max="136" style="7" width="27.005" customWidth="1" bestFit="1"/>
    <col min="137" max="137" style="7" width="29.005" customWidth="1" bestFit="1"/>
    <col min="138" max="138" style="7" width="35.005" customWidth="1" bestFit="1"/>
    <col min="139" max="139" style="7" width="28.005" customWidth="1" bestFit="1"/>
    <col min="140" max="140" style="7" width="32.005" customWidth="1" bestFit="1"/>
    <col min="141" max="141" style="7" width="32.005" customWidth="1" bestFit="1"/>
    <col min="142" max="142" style="7" width="27.005" customWidth="1" bestFit="1"/>
    <col min="143" max="143" style="7" width="29.005" customWidth="1" bestFit="1"/>
    <col min="144" max="144" style="7" width="23.005" customWidth="1" bestFit="1"/>
    <col min="145" max="145" style="5" width="22.005" customWidth="1" bestFit="1"/>
    <col min="146" max="146" style="7" width="33.005" customWidth="1" bestFit="1"/>
    <col min="147" max="147" style="7" width="26.005" customWidth="1" bestFit="1"/>
    <col min="148" max="148" style="7" width="27.005" customWidth="1" bestFit="1"/>
    <col min="149" max="149" style="7" width="33.005" customWidth="1" bestFit="1"/>
    <col min="150" max="150" style="7" width="26.005" customWidth="1" bestFit="1"/>
    <col min="151" max="151" style="7" width="30.005" customWidth="1" bestFit="1"/>
    <col min="152" max="152" style="7" width="30.005" customWidth="1" bestFit="1"/>
    <col min="153" max="153" style="7" width="35.005" customWidth="1" bestFit="1"/>
    <col min="154" max="154" style="7" width="28.005" customWidth="1" bestFit="1"/>
    <col min="155" max="155" style="7" width="29.005" customWidth="1" bestFit="1"/>
    <col min="156" max="156" style="7" width="35.005" customWidth="1" bestFit="1"/>
    <col min="157" max="157" style="7" width="28.005" customWidth="1" bestFit="1"/>
    <col min="158" max="158" style="7" width="32.005" customWidth="1" bestFit="1"/>
    <col min="159" max="159" style="7" width="32.005" customWidth="1" bestFit="1"/>
    <col min="160" max="160" style="7" width="27.005" customWidth="1" bestFit="1"/>
    <col min="161" max="161" style="7" width="29.005" customWidth="1" bestFit="1"/>
    <col min="162" max="162" style="7" width="23.005" customWidth="1" bestFit="1"/>
    <col min="163" max="163" style="5" width="22.005" customWidth="1" bestFit="1"/>
    <col min="164" max="164" style="7" width="33.005" customWidth="1" bestFit="1"/>
    <col min="165" max="165" style="7" width="26.005" customWidth="1" bestFit="1"/>
    <col min="166" max="166" style="7" width="27.005" customWidth="1" bestFit="1"/>
    <col min="167" max="167" style="7" width="33.005" customWidth="1" bestFit="1"/>
    <col min="168" max="168" style="7" width="26.005" customWidth="1" bestFit="1"/>
    <col min="169" max="169" style="7" width="30.005" customWidth="1" bestFit="1"/>
    <col min="170" max="170" style="7" width="30.005" customWidth="1" bestFit="1"/>
    <col min="171" max="171" style="7" width="35.005" customWidth="1" bestFit="1"/>
    <col min="172" max="172" style="7" width="28.005" customWidth="1" bestFit="1"/>
    <col min="173" max="173" style="7" width="29.005" customWidth="1" bestFit="1"/>
    <col min="174" max="174" style="7" width="35.005" customWidth="1" bestFit="1"/>
    <col min="175" max="175" style="7" width="28.005" customWidth="1" bestFit="1"/>
    <col min="176" max="176" style="7" width="32.005" customWidth="1" bestFit="1"/>
    <col min="177" max="177" style="7" width="32.005" customWidth="1" bestFit="1"/>
    <col min="178" max="178" style="7" width="27.005" customWidth="1" bestFit="1"/>
    <col min="179" max="179" style="7" width="29.005" customWidth="1" bestFit="1"/>
    <col min="180" max="180" style="7" width="23.005" customWidth="1" bestFit="1"/>
    <col min="181" max="181" style="5" width="22.005" customWidth="1" bestFit="1"/>
    <col min="182" max="182" style="7" width="33.005" customWidth="1" bestFit="1"/>
    <col min="183" max="183" style="7" width="26.005" customWidth="1" bestFit="1"/>
    <col min="184" max="184" style="7" width="27.005" customWidth="1" bestFit="1"/>
    <col min="185" max="185" style="7" width="33.005" customWidth="1" bestFit="1"/>
    <col min="186" max="186" style="7" width="26.005" customWidth="1" bestFit="1"/>
    <col min="187" max="187" style="7" width="30.005" customWidth="1" bestFit="1"/>
    <col min="188" max="188" style="7" width="30.005" customWidth="1" bestFit="1"/>
    <col min="189" max="189" style="7" width="35.005" customWidth="1" bestFit="1"/>
    <col min="190" max="190" style="7" width="28.005" customWidth="1" bestFit="1"/>
    <col min="191" max="191" style="7" width="29.005" customWidth="1" bestFit="1"/>
    <col min="192" max="192" style="7" width="35.005" customWidth="1" bestFit="1"/>
    <col min="193" max="193" style="7" width="28.005" customWidth="1" bestFit="1"/>
    <col min="194" max="194" style="7" width="32.005" customWidth="1" bestFit="1"/>
    <col min="195" max="195" style="7" width="32.005" customWidth="1" bestFit="1"/>
    <col min="196" max="196" style="7" width="27.005" customWidth="1" bestFit="1"/>
    <col min="197" max="197" style="7" width="29.005" customWidth="1" bestFit="1"/>
    <col min="198" max="198" style="7" width="23.005" customWidth="1" bestFit="1"/>
    <col min="199" max="199" style="5" width="22.005" customWidth="1" bestFit="1"/>
    <col min="200" max="200" style="7" width="33.005" customWidth="1" bestFit="1"/>
    <col min="201" max="201" style="7" width="27.005" customWidth="1" bestFit="1"/>
    <col min="202" max="202" style="7" width="33.005" customWidth="1" bestFit="1"/>
    <col min="203" max="203" style="7" width="26.005" customWidth="1" bestFit="1"/>
    <col min="204" max="204" style="7" width="30.005" customWidth="1" bestFit="1"/>
    <col min="205" max="205" style="7" width="30.005" customWidth="1" bestFit="1"/>
    <col min="206" max="206" style="7" width="35.005" customWidth="1" bestFit="1"/>
    <col min="207" max="207" style="7" width="29.005" customWidth="1" bestFit="1"/>
    <col min="208" max="208" style="7" width="35.005" customWidth="1" bestFit="1"/>
    <col min="209" max="209" style="7" width="28.005" customWidth="1" bestFit="1"/>
    <col min="210" max="210" style="7" width="32.005" customWidth="1" bestFit="1"/>
    <col min="211" max="211" style="7" width="32.005" customWidth="1" bestFit="1"/>
    <col min="212" max="212" style="7" width="27.005" customWidth="1" bestFit="1"/>
    <col min="213" max="213" style="7" width="29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  <c r="J1" s="2" t="s">
        <v>3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182</v>
      </c>
      <c r="W1" s="2" t="s">
        <v>183</v>
      </c>
      <c r="X1" s="3" t="s">
        <v>184</v>
      </c>
      <c r="Y1" s="3" t="s">
        <v>185</v>
      </c>
      <c r="Z1" s="3" t="s">
        <v>186</v>
      </c>
      <c r="AA1" s="3" t="s">
        <v>187</v>
      </c>
      <c r="AB1" s="3" t="s">
        <v>9</v>
      </c>
      <c r="AC1" s="3" t="s">
        <v>188</v>
      </c>
      <c r="AD1" s="3" t="s">
        <v>189</v>
      </c>
      <c r="AE1" s="3" t="s">
        <v>190</v>
      </c>
      <c r="AF1" s="3" t="s">
        <v>191</v>
      </c>
      <c r="AG1" s="3" t="s">
        <v>192</v>
      </c>
      <c r="AH1" s="3" t="s">
        <v>193</v>
      </c>
      <c r="AI1" s="3" t="s">
        <v>10</v>
      </c>
      <c r="AJ1" s="3" t="s">
        <v>11</v>
      </c>
      <c r="AK1" s="3" t="s">
        <v>12</v>
      </c>
      <c r="AL1" s="3" t="s">
        <v>13</v>
      </c>
      <c r="AM1" s="1" t="s">
        <v>14</v>
      </c>
      <c r="AN1" s="3" t="s">
        <v>194</v>
      </c>
      <c r="AO1" s="3" t="s">
        <v>195</v>
      </c>
      <c r="AP1" s="3" t="s">
        <v>196</v>
      </c>
      <c r="AQ1" s="3" t="s">
        <v>197</v>
      </c>
      <c r="AR1" s="3" t="s">
        <v>198</v>
      </c>
      <c r="AS1" s="3" t="s">
        <v>199</v>
      </c>
      <c r="AT1" s="3" t="s">
        <v>15</v>
      </c>
      <c r="AU1" s="3" t="s">
        <v>200</v>
      </c>
      <c r="AV1" s="3" t="s">
        <v>201</v>
      </c>
      <c r="AW1" s="3" t="s">
        <v>202</v>
      </c>
      <c r="AX1" s="3" t="s">
        <v>203</v>
      </c>
      <c r="AY1" s="3" t="s">
        <v>204</v>
      </c>
      <c r="AZ1" s="3" t="s">
        <v>205</v>
      </c>
      <c r="BA1" s="3" t="s">
        <v>16</v>
      </c>
      <c r="BB1" s="3" t="s">
        <v>17</v>
      </c>
      <c r="BC1" s="3" t="s">
        <v>18</v>
      </c>
      <c r="BD1" s="3" t="s">
        <v>19</v>
      </c>
      <c r="BE1" s="1" t="s">
        <v>20</v>
      </c>
      <c r="BF1" s="3" t="s">
        <v>206</v>
      </c>
      <c r="BG1" s="3" t="s">
        <v>207</v>
      </c>
      <c r="BH1" s="3" t="s">
        <v>208</v>
      </c>
      <c r="BI1" s="3" t="s">
        <v>209</v>
      </c>
      <c r="BJ1" s="3" t="s">
        <v>210</v>
      </c>
      <c r="BK1" s="3" t="s">
        <v>211</v>
      </c>
      <c r="BL1" s="3" t="s">
        <v>21</v>
      </c>
      <c r="BM1" s="3" t="s">
        <v>22</v>
      </c>
      <c r="BN1" s="3" t="s">
        <v>23</v>
      </c>
      <c r="BO1" s="3" t="s">
        <v>212</v>
      </c>
      <c r="BP1" s="3" t="s">
        <v>213</v>
      </c>
      <c r="BQ1" s="3" t="s">
        <v>214</v>
      </c>
      <c r="BR1" s="3" t="s">
        <v>215</v>
      </c>
      <c r="BS1" s="3" t="s">
        <v>216</v>
      </c>
      <c r="BT1" s="3" t="s">
        <v>217</v>
      </c>
      <c r="BU1" s="3" t="s">
        <v>24</v>
      </c>
      <c r="BV1" s="3" t="s">
        <v>25</v>
      </c>
      <c r="BW1" s="3" t="s">
        <v>26</v>
      </c>
      <c r="BX1" s="3" t="s">
        <v>27</v>
      </c>
      <c r="BY1" s="3" t="s">
        <v>28</v>
      </c>
      <c r="BZ1" s="3" t="s">
        <v>29</v>
      </c>
      <c r="CA1" s="1" t="s">
        <v>30</v>
      </c>
      <c r="CB1" s="3" t="s">
        <v>218</v>
      </c>
      <c r="CC1" s="3" t="s">
        <v>219</v>
      </c>
      <c r="CD1" s="3" t="s">
        <v>220</v>
      </c>
      <c r="CE1" s="3" t="s">
        <v>221</v>
      </c>
      <c r="CF1" s="3" t="s">
        <v>222</v>
      </c>
      <c r="CG1" s="3" t="s">
        <v>223</v>
      </c>
      <c r="CH1" s="3" t="s">
        <v>31</v>
      </c>
      <c r="CI1" s="3" t="s">
        <v>32</v>
      </c>
      <c r="CJ1" s="3" t="s">
        <v>33</v>
      </c>
      <c r="CK1" s="3" t="s">
        <v>224</v>
      </c>
      <c r="CL1" s="3" t="s">
        <v>225</v>
      </c>
      <c r="CM1" s="3" t="s">
        <v>226</v>
      </c>
      <c r="CN1" s="3" t="s">
        <v>227</v>
      </c>
      <c r="CO1" s="3" t="s">
        <v>228</v>
      </c>
      <c r="CP1" s="3" t="s">
        <v>229</v>
      </c>
      <c r="CQ1" s="3" t="s">
        <v>34</v>
      </c>
      <c r="CR1" s="3" t="s">
        <v>35</v>
      </c>
      <c r="CS1" s="3" t="s">
        <v>36</v>
      </c>
      <c r="CT1" s="3" t="s">
        <v>37</v>
      </c>
      <c r="CU1" s="3" t="s">
        <v>38</v>
      </c>
      <c r="CV1" s="3" t="s">
        <v>39</v>
      </c>
      <c r="CW1" s="1" t="s">
        <v>40</v>
      </c>
      <c r="CX1" s="3" t="s">
        <v>230</v>
      </c>
      <c r="CY1" s="3" t="s">
        <v>231</v>
      </c>
      <c r="CZ1" s="3" t="s">
        <v>232</v>
      </c>
      <c r="DA1" s="3" t="s">
        <v>233</v>
      </c>
      <c r="DB1" s="3" t="s">
        <v>234</v>
      </c>
      <c r="DC1" s="3" t="s">
        <v>235</v>
      </c>
      <c r="DD1" s="3" t="s">
        <v>41</v>
      </c>
      <c r="DE1" s="3" t="s">
        <v>42</v>
      </c>
      <c r="DF1" s="3" t="s">
        <v>43</v>
      </c>
      <c r="DG1" s="3" t="s">
        <v>236</v>
      </c>
      <c r="DH1" s="3" t="s">
        <v>237</v>
      </c>
      <c r="DI1" s="3" t="s">
        <v>238</v>
      </c>
      <c r="DJ1" s="3" t="s">
        <v>239</v>
      </c>
      <c r="DK1" s="3" t="s">
        <v>240</v>
      </c>
      <c r="DL1" s="3" t="s">
        <v>241</v>
      </c>
      <c r="DM1" s="3" t="s">
        <v>44</v>
      </c>
      <c r="DN1" s="3" t="s">
        <v>45</v>
      </c>
      <c r="DO1" s="3" t="s">
        <v>46</v>
      </c>
      <c r="DP1" s="3" t="s">
        <v>47</v>
      </c>
      <c r="DQ1" s="3" t="s">
        <v>48</v>
      </c>
      <c r="DR1" s="3" t="s">
        <v>49</v>
      </c>
      <c r="DS1" s="1" t="s">
        <v>50</v>
      </c>
      <c r="DT1" s="3" t="s">
        <v>242</v>
      </c>
      <c r="DU1" s="3" t="s">
        <v>243</v>
      </c>
      <c r="DV1" s="3" t="s">
        <v>244</v>
      </c>
      <c r="DW1" s="3" t="s">
        <v>245</v>
      </c>
      <c r="DX1" s="3" t="s">
        <v>246</v>
      </c>
      <c r="DY1" s="3" t="s">
        <v>247</v>
      </c>
      <c r="DZ1" s="3" t="s">
        <v>51</v>
      </c>
      <c r="EA1" s="3" t="s">
        <v>52</v>
      </c>
      <c r="EB1" s="3" t="s">
        <v>53</v>
      </c>
      <c r="EC1" s="3" t="s">
        <v>248</v>
      </c>
      <c r="ED1" s="3" t="s">
        <v>249</v>
      </c>
      <c r="EE1" s="3" t="s">
        <v>250</v>
      </c>
      <c r="EF1" s="3" t="s">
        <v>251</v>
      </c>
      <c r="EG1" s="3" t="s">
        <v>252</v>
      </c>
      <c r="EH1" s="3" t="s">
        <v>253</v>
      </c>
      <c r="EI1" s="3" t="s">
        <v>54</v>
      </c>
      <c r="EJ1" s="3" t="s">
        <v>55</v>
      </c>
      <c r="EK1" s="3" t="s">
        <v>56</v>
      </c>
      <c r="EL1" s="3" t="s">
        <v>57</v>
      </c>
      <c r="EM1" s="3" t="s">
        <v>58</v>
      </c>
      <c r="EN1" s="3" t="s">
        <v>59</v>
      </c>
      <c r="EO1" s="1" t="s">
        <v>60</v>
      </c>
      <c r="EP1" s="3" t="s">
        <v>254</v>
      </c>
      <c r="EQ1" s="3" t="s">
        <v>255</v>
      </c>
      <c r="ER1" s="3" t="s">
        <v>256</v>
      </c>
      <c r="ES1" s="3" t="s">
        <v>257</v>
      </c>
      <c r="ET1" s="3" t="s">
        <v>61</v>
      </c>
      <c r="EU1" s="3" t="s">
        <v>62</v>
      </c>
      <c r="EV1" s="3" t="s">
        <v>63</v>
      </c>
      <c r="EW1" s="3" t="s">
        <v>258</v>
      </c>
      <c r="EX1" s="3" t="s">
        <v>259</v>
      </c>
      <c r="EY1" s="3" t="s">
        <v>260</v>
      </c>
      <c r="EZ1" s="3" t="s">
        <v>261</v>
      </c>
      <c r="FA1" s="3" t="s">
        <v>64</v>
      </c>
      <c r="FB1" s="3" t="s">
        <v>65</v>
      </c>
      <c r="FC1" s="3" t="s">
        <v>66</v>
      </c>
      <c r="FD1" s="3" t="s">
        <v>67</v>
      </c>
      <c r="FE1" s="3" t="s">
        <v>68</v>
      </c>
      <c r="FF1" s="3" t="s">
        <v>69</v>
      </c>
      <c r="FG1" s="1" t="s">
        <v>70</v>
      </c>
      <c r="FH1" s="3" t="s">
        <v>262</v>
      </c>
      <c r="FI1" s="3" t="s">
        <v>263</v>
      </c>
      <c r="FJ1" s="3" t="s">
        <v>264</v>
      </c>
      <c r="FK1" s="3" t="s">
        <v>265</v>
      </c>
      <c r="FL1" s="3" t="s">
        <v>71</v>
      </c>
      <c r="FM1" s="3" t="s">
        <v>72</v>
      </c>
      <c r="FN1" s="3" t="s">
        <v>73</v>
      </c>
      <c r="FO1" s="3" t="s">
        <v>266</v>
      </c>
      <c r="FP1" s="3" t="s">
        <v>267</v>
      </c>
      <c r="FQ1" s="3" t="s">
        <v>268</v>
      </c>
      <c r="FR1" s="3" t="s">
        <v>269</v>
      </c>
      <c r="FS1" s="3" t="s">
        <v>74</v>
      </c>
      <c r="FT1" s="3" t="s">
        <v>75</v>
      </c>
      <c r="FU1" s="3" t="s">
        <v>76</v>
      </c>
      <c r="FV1" s="3" t="s">
        <v>77</v>
      </c>
      <c r="FW1" s="3" t="s">
        <v>78</v>
      </c>
      <c r="FX1" s="3" t="s">
        <v>79</v>
      </c>
      <c r="FY1" s="1" t="s">
        <v>80</v>
      </c>
      <c r="FZ1" s="3" t="s">
        <v>270</v>
      </c>
      <c r="GA1" s="3" t="s">
        <v>271</v>
      </c>
      <c r="GB1" s="3" t="s">
        <v>272</v>
      </c>
      <c r="GC1" s="3" t="s">
        <v>273</v>
      </c>
      <c r="GD1" s="3" t="s">
        <v>81</v>
      </c>
      <c r="GE1" s="3" t="s">
        <v>82</v>
      </c>
      <c r="GF1" s="3" t="s">
        <v>83</v>
      </c>
      <c r="GG1" s="3" t="s">
        <v>274</v>
      </c>
      <c r="GH1" s="3" t="s">
        <v>275</v>
      </c>
      <c r="GI1" s="3" t="s">
        <v>276</v>
      </c>
      <c r="GJ1" s="3" t="s">
        <v>277</v>
      </c>
      <c r="GK1" s="3" t="s">
        <v>84</v>
      </c>
      <c r="GL1" s="3" t="s">
        <v>85</v>
      </c>
      <c r="GM1" s="3" t="s">
        <v>86</v>
      </c>
      <c r="GN1" s="3" t="s">
        <v>87</v>
      </c>
      <c r="GO1" s="3" t="s">
        <v>88</v>
      </c>
      <c r="GP1" s="3" t="s">
        <v>89</v>
      </c>
      <c r="GQ1" s="1" t="s">
        <v>90</v>
      </c>
      <c r="GR1" s="3" t="s">
        <v>278</v>
      </c>
      <c r="GS1" s="3" t="s">
        <v>279</v>
      </c>
      <c r="GT1" s="3" t="s">
        <v>280</v>
      </c>
      <c r="GU1" s="3" t="s">
        <v>91</v>
      </c>
      <c r="GV1" s="3" t="s">
        <v>92</v>
      </c>
      <c r="GW1" s="3" t="s">
        <v>93</v>
      </c>
      <c r="GX1" s="3" t="s">
        <v>281</v>
      </c>
      <c r="GY1" s="3" t="s">
        <v>282</v>
      </c>
      <c r="GZ1" s="3" t="s">
        <v>283</v>
      </c>
      <c r="HA1" s="3" t="s">
        <v>94</v>
      </c>
      <c r="HB1" s="3" t="s">
        <v>95</v>
      </c>
      <c r="HC1" s="3" t="s">
        <v>96</v>
      </c>
      <c r="HD1" s="3" t="s">
        <v>97</v>
      </c>
      <c r="HE1" s="3" t="s">
        <v>98</v>
      </c>
    </row>
    <row x14ac:dyDescent="0.25" r="2" customHeight="1" ht="18">
      <c r="A2" s="1" t="s">
        <v>284</v>
      </c>
      <c r="B2" s="4">
        <v>0</v>
      </c>
      <c r="C2" s="2" t="s">
        <v>112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2" t="s">
        <v>112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1" t="s">
        <v>112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13279</v>
      </c>
      <c r="BE2" s="1" t="s">
        <v>285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30000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2709000</v>
      </c>
      <c r="BV2" s="4">
        <v>0</v>
      </c>
      <c r="BW2" s="4">
        <v>0</v>
      </c>
      <c r="BX2" s="4">
        <v>30000</v>
      </c>
      <c r="BY2" s="4">
        <v>2709000</v>
      </c>
      <c r="BZ2" s="4">
        <v>13279</v>
      </c>
      <c r="CA2" s="1" t="s">
        <v>285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30000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2709000</v>
      </c>
      <c r="CR2" s="4">
        <v>0</v>
      </c>
      <c r="CS2" s="4">
        <v>0</v>
      </c>
      <c r="CT2" s="4">
        <v>30000</v>
      </c>
      <c r="CU2" s="4">
        <v>2709000</v>
      </c>
      <c r="CV2" s="4">
        <v>13279</v>
      </c>
      <c r="CW2" s="1" t="s">
        <v>285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30000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2709000</v>
      </c>
      <c r="DN2" s="4">
        <v>0</v>
      </c>
      <c r="DO2" s="4">
        <v>0</v>
      </c>
      <c r="DP2" s="4">
        <v>30000</v>
      </c>
      <c r="DQ2" s="4">
        <v>2709000</v>
      </c>
      <c r="DR2" s="4">
        <v>5418</v>
      </c>
      <c r="DS2" s="1" t="s">
        <v>286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12240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1105272</v>
      </c>
      <c r="EJ2" s="4">
        <v>0</v>
      </c>
      <c r="EK2" s="4">
        <v>0</v>
      </c>
      <c r="EL2" s="4">
        <v>12240</v>
      </c>
      <c r="EM2" s="4">
        <v>1105272</v>
      </c>
      <c r="EN2" s="4">
        <v>11048</v>
      </c>
      <c r="EO2" s="1" t="s">
        <v>287</v>
      </c>
      <c r="EP2" s="4">
        <v>0</v>
      </c>
      <c r="EQ2" s="4">
        <v>0</v>
      </c>
      <c r="ER2" s="4">
        <v>0</v>
      </c>
      <c r="ES2" s="4">
        <v>0</v>
      </c>
      <c r="ET2" s="4">
        <v>24960</v>
      </c>
      <c r="EU2" s="4">
        <v>0</v>
      </c>
      <c r="EV2" s="4">
        <v>0</v>
      </c>
      <c r="EW2" s="4">
        <v>0</v>
      </c>
      <c r="EX2" s="4">
        <v>0</v>
      </c>
      <c r="EY2" s="4">
        <v>0</v>
      </c>
      <c r="EZ2" s="4">
        <v>0</v>
      </c>
      <c r="FA2" s="4">
        <v>2253887</v>
      </c>
      <c r="FB2" s="4">
        <v>0</v>
      </c>
      <c r="FC2" s="4">
        <v>0</v>
      </c>
      <c r="FD2" s="4">
        <v>24960</v>
      </c>
      <c r="FE2" s="4">
        <v>2253887</v>
      </c>
      <c r="FF2" s="4">
        <v>17635</v>
      </c>
      <c r="FG2" s="1" t="s">
        <v>288</v>
      </c>
      <c r="FH2" s="4">
        <v>0</v>
      </c>
      <c r="FI2" s="4">
        <v>0</v>
      </c>
      <c r="FJ2" s="4">
        <v>0</v>
      </c>
      <c r="FK2" s="4">
        <v>0</v>
      </c>
      <c r="FL2" s="4">
        <v>39840</v>
      </c>
      <c r="FM2" s="4">
        <v>0</v>
      </c>
      <c r="FN2" s="4">
        <v>0</v>
      </c>
      <c r="FO2" s="4">
        <v>0</v>
      </c>
      <c r="FP2" s="4">
        <v>0</v>
      </c>
      <c r="FQ2" s="4">
        <v>0</v>
      </c>
      <c r="FR2" s="4">
        <v>0</v>
      </c>
      <c r="FS2" s="4">
        <v>3597552</v>
      </c>
      <c r="FT2" s="4">
        <v>0</v>
      </c>
      <c r="FU2" s="4">
        <v>0</v>
      </c>
      <c r="FV2" s="4">
        <v>39840</v>
      </c>
      <c r="FW2" s="4">
        <v>3597552</v>
      </c>
      <c r="FX2" s="4">
        <v>30065</v>
      </c>
      <c r="FY2" s="1" t="s">
        <v>289</v>
      </c>
      <c r="FZ2" s="4">
        <v>0</v>
      </c>
      <c r="GA2" s="4">
        <v>0</v>
      </c>
      <c r="GB2" s="4">
        <v>0</v>
      </c>
      <c r="GC2" s="4">
        <v>0</v>
      </c>
      <c r="GD2" s="4">
        <v>67920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6133175</v>
      </c>
      <c r="GL2" s="4">
        <v>0</v>
      </c>
      <c r="GM2" s="4">
        <v>0</v>
      </c>
      <c r="GN2" s="4">
        <v>67920</v>
      </c>
      <c r="GO2" s="4">
        <v>6133175</v>
      </c>
      <c r="GP2" s="4">
        <v>22097</v>
      </c>
      <c r="GQ2" s="1" t="s">
        <v>290</v>
      </c>
      <c r="GR2" s="4">
        <v>0</v>
      </c>
      <c r="GS2" s="4">
        <v>0</v>
      </c>
      <c r="GT2" s="4">
        <v>0</v>
      </c>
      <c r="GU2" s="4">
        <v>49920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4507775</v>
      </c>
      <c r="HB2" s="4">
        <v>0</v>
      </c>
      <c r="HC2" s="4">
        <v>0</v>
      </c>
      <c r="HD2" s="4">
        <v>49920</v>
      </c>
      <c r="HE2" s="4">
        <v>4507775</v>
      </c>
    </row>
    <row x14ac:dyDescent="0.25" r="3" customHeight="1" ht="18">
      <c r="A3" s="1" t="s">
        <v>291</v>
      </c>
      <c r="B3" s="4">
        <v>16004</v>
      </c>
      <c r="C3" s="2" t="s">
        <v>292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53520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3264720</v>
      </c>
      <c r="R3" s="4">
        <v>53520</v>
      </c>
      <c r="S3" s="4">
        <v>3264720</v>
      </c>
      <c r="T3" s="4">
        <v>10262</v>
      </c>
      <c r="U3" s="2" t="s">
        <v>293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34320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2093520</v>
      </c>
      <c r="AJ3" s="4">
        <v>34320</v>
      </c>
      <c r="AK3" s="4">
        <v>2093520</v>
      </c>
      <c r="AL3" s="4">
        <v>1938</v>
      </c>
      <c r="AM3" s="1" t="s">
        <v>294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6480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395280</v>
      </c>
      <c r="BB3" s="4">
        <v>6480</v>
      </c>
      <c r="BC3" s="4">
        <v>395280</v>
      </c>
      <c r="BD3" s="4">
        <v>49876</v>
      </c>
      <c r="BE3" s="1" t="s">
        <v>295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2400</v>
      </c>
      <c r="BN3" s="4">
        <v>164400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146400</v>
      </c>
      <c r="BW3" s="4">
        <v>10028400</v>
      </c>
      <c r="BX3" s="4">
        <v>166800</v>
      </c>
      <c r="BY3" s="4">
        <v>10174800</v>
      </c>
      <c r="BZ3" s="4">
        <v>54111</v>
      </c>
      <c r="CA3" s="1" t="s">
        <v>296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13680</v>
      </c>
      <c r="CJ3" s="4">
        <v>167280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834480</v>
      </c>
      <c r="CS3" s="4">
        <v>10204080</v>
      </c>
      <c r="CT3" s="4">
        <v>180960</v>
      </c>
      <c r="CU3" s="4">
        <v>11038560</v>
      </c>
      <c r="CV3" s="4">
        <v>63296</v>
      </c>
      <c r="CW3" s="1" t="s">
        <v>297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33120</v>
      </c>
      <c r="DF3" s="4">
        <v>178560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2020320</v>
      </c>
      <c r="DO3" s="4">
        <v>10892160</v>
      </c>
      <c r="DP3" s="4">
        <v>211680</v>
      </c>
      <c r="DQ3" s="4">
        <v>12912480</v>
      </c>
      <c r="DR3" s="4">
        <v>69899</v>
      </c>
      <c r="DS3" s="1" t="s">
        <v>298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16560</v>
      </c>
      <c r="EB3" s="4">
        <v>217200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1010160</v>
      </c>
      <c r="EK3" s="4">
        <v>13249200</v>
      </c>
      <c r="EL3" s="4">
        <v>233760</v>
      </c>
      <c r="EM3" s="4">
        <v>14259360</v>
      </c>
      <c r="EN3" s="4">
        <v>76142</v>
      </c>
      <c r="EO3" s="1" t="s">
        <v>299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254640</v>
      </c>
      <c r="EW3" s="4">
        <v>0</v>
      </c>
      <c r="EX3" s="4">
        <v>0</v>
      </c>
      <c r="EY3" s="4">
        <v>0</v>
      </c>
      <c r="EZ3" s="4">
        <v>0</v>
      </c>
      <c r="FA3" s="4">
        <v>0</v>
      </c>
      <c r="FB3" s="4">
        <v>0</v>
      </c>
      <c r="FC3" s="4">
        <v>15533040</v>
      </c>
      <c r="FD3" s="4">
        <v>254640</v>
      </c>
      <c r="FE3" s="4">
        <v>15533040</v>
      </c>
      <c r="FF3" s="4">
        <v>76142</v>
      </c>
      <c r="FG3" s="1" t="s">
        <v>299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254640</v>
      </c>
      <c r="FO3" s="4">
        <v>0</v>
      </c>
      <c r="FP3" s="4">
        <v>0</v>
      </c>
      <c r="FQ3" s="4">
        <v>0</v>
      </c>
      <c r="FR3" s="4">
        <v>0</v>
      </c>
      <c r="FS3" s="4">
        <v>0</v>
      </c>
      <c r="FT3" s="4">
        <v>0</v>
      </c>
      <c r="FU3" s="4">
        <v>15533040</v>
      </c>
      <c r="FV3" s="4">
        <v>254640</v>
      </c>
      <c r="FW3" s="4">
        <v>15533040</v>
      </c>
      <c r="FX3" s="4">
        <v>76142</v>
      </c>
      <c r="FY3" s="1" t="s">
        <v>299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254640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15533040</v>
      </c>
      <c r="GN3" s="4">
        <v>254640</v>
      </c>
      <c r="GO3" s="4">
        <v>15533040</v>
      </c>
      <c r="GP3" s="4">
        <v>76142</v>
      </c>
      <c r="GQ3" s="1" t="s">
        <v>299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254640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15533040</v>
      </c>
      <c r="HD3" s="4">
        <v>254640</v>
      </c>
      <c r="HE3" s="4">
        <v>15533040</v>
      </c>
    </row>
    <row x14ac:dyDescent="0.25" r="4" customHeight="1" ht="18">
      <c r="A4" s="1" t="s">
        <v>300</v>
      </c>
      <c r="B4" s="4">
        <v>0</v>
      </c>
      <c r="C4" s="2" t="s">
        <v>112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2" t="s">
        <v>112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1" t="s">
        <v>112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1" t="s">
        <v>112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1" t="s">
        <v>112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1" t="s">
        <v>112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1" t="s">
        <v>112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18444</v>
      </c>
      <c r="EO4" s="1" t="s">
        <v>301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26400</v>
      </c>
      <c r="EV4" s="4">
        <v>35280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1610400</v>
      </c>
      <c r="FC4" s="4">
        <v>2152080</v>
      </c>
      <c r="FD4" s="4">
        <v>61680</v>
      </c>
      <c r="FE4" s="4">
        <v>3762480</v>
      </c>
      <c r="FF4" s="4">
        <v>47149</v>
      </c>
      <c r="FG4" s="1" t="s">
        <v>302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32400</v>
      </c>
      <c r="FN4" s="4">
        <v>125280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1976400</v>
      </c>
      <c r="FU4" s="4">
        <v>7642080</v>
      </c>
      <c r="FV4" s="4">
        <v>157680</v>
      </c>
      <c r="FW4" s="4">
        <v>9618480</v>
      </c>
      <c r="FX4" s="4">
        <v>76142</v>
      </c>
      <c r="FY4" s="1" t="s">
        <v>299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254640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15533040</v>
      </c>
      <c r="GN4" s="4">
        <v>254640</v>
      </c>
      <c r="GO4" s="4">
        <v>15533040</v>
      </c>
      <c r="GP4" s="4">
        <v>56264</v>
      </c>
      <c r="GQ4" s="1" t="s">
        <v>303</v>
      </c>
      <c r="GR4" s="4">
        <v>0</v>
      </c>
      <c r="GS4" s="4">
        <v>0</v>
      </c>
      <c r="GT4" s="4">
        <v>0</v>
      </c>
      <c r="GU4" s="4">
        <v>0</v>
      </c>
      <c r="GV4" s="4">
        <v>42960</v>
      </c>
      <c r="GW4" s="4">
        <v>145200</v>
      </c>
      <c r="GX4" s="4">
        <v>0</v>
      </c>
      <c r="GY4" s="4">
        <v>0</v>
      </c>
      <c r="GZ4" s="4">
        <v>0</v>
      </c>
      <c r="HA4" s="4">
        <v>0</v>
      </c>
      <c r="HB4" s="4">
        <v>2620560</v>
      </c>
      <c r="HC4" s="4">
        <v>8857200</v>
      </c>
      <c r="HD4" s="4">
        <v>188160</v>
      </c>
      <c r="HE4" s="4">
        <v>11477760</v>
      </c>
    </row>
    <row x14ac:dyDescent="0.25" r="5" customHeight="1" ht="18">
      <c r="A5" s="1" t="s">
        <v>304</v>
      </c>
      <c r="B5" s="4">
        <v>0</v>
      </c>
      <c r="C5" s="2" t="s">
        <v>112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2" t="s">
        <v>112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1" t="s">
        <v>112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1" t="s">
        <v>112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1" t="s">
        <v>112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1" t="s">
        <v>112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1" t="s">
        <v>112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1" t="s">
        <v>112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1" t="s">
        <v>112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25333</v>
      </c>
      <c r="FY5" s="1" t="s">
        <v>305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54000</v>
      </c>
      <c r="GF5" s="4">
        <v>30720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3294000</v>
      </c>
      <c r="GM5" s="4">
        <v>1873920</v>
      </c>
      <c r="GN5" s="4">
        <v>84720</v>
      </c>
      <c r="GO5" s="4">
        <v>5167920</v>
      </c>
      <c r="GP5" s="4">
        <v>0</v>
      </c>
      <c r="GQ5" s="1" t="s">
        <v>112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</row>
    <row x14ac:dyDescent="0.25" r="6" customHeight="1" ht="18">
      <c r="A6" s="1" t="s">
        <v>306</v>
      </c>
      <c r="B6" s="4">
        <v>0</v>
      </c>
      <c r="C6" s="2" t="s">
        <v>112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2" t="s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1" t="s">
        <v>112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1" t="s">
        <v>112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1" t="s">
        <v>112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1" t="s">
        <v>112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1" t="s">
        <v>112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1" t="s">
        <v>112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1" t="s">
        <v>112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1" t="s">
        <v>112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1" t="s">
        <v>112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</row>
    <row x14ac:dyDescent="0.25" r="7" customHeight="1" ht="18">
      <c r="A7" s="1" t="s">
        <v>307</v>
      </c>
      <c r="B7" s="4">
        <v>76193</v>
      </c>
      <c r="C7" s="2" t="s">
        <v>308</v>
      </c>
      <c r="D7" s="4">
        <v>0</v>
      </c>
      <c r="E7" s="4">
        <v>0</v>
      </c>
      <c r="F7" s="4">
        <v>0</v>
      </c>
      <c r="G7" s="4">
        <v>0</v>
      </c>
      <c r="H7" s="4">
        <v>606240</v>
      </c>
      <c r="I7" s="4">
        <v>450960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7854469</v>
      </c>
      <c r="P7" s="4">
        <v>7688868</v>
      </c>
      <c r="Q7" s="4">
        <v>0</v>
      </c>
      <c r="R7" s="4">
        <v>1057200</v>
      </c>
      <c r="S7" s="4">
        <v>15543337</v>
      </c>
      <c r="T7" s="4">
        <v>76204</v>
      </c>
      <c r="U7" s="2" t="s">
        <v>109</v>
      </c>
      <c r="V7" s="4">
        <v>0</v>
      </c>
      <c r="W7" s="4">
        <v>0</v>
      </c>
      <c r="X7" s="4">
        <v>0</v>
      </c>
      <c r="Y7" s="4">
        <v>0</v>
      </c>
      <c r="Z7" s="4">
        <v>862560</v>
      </c>
      <c r="AA7" s="4">
        <v>256320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11175361</v>
      </c>
      <c r="AH7" s="4">
        <v>4370256</v>
      </c>
      <c r="AI7" s="4">
        <v>0</v>
      </c>
      <c r="AJ7" s="4">
        <v>1118880</v>
      </c>
      <c r="AK7" s="4">
        <v>15545617</v>
      </c>
      <c r="AL7" s="4">
        <v>15997</v>
      </c>
      <c r="AM7" s="1" t="s">
        <v>309</v>
      </c>
      <c r="AN7" s="4">
        <v>0</v>
      </c>
      <c r="AO7" s="4">
        <v>0</v>
      </c>
      <c r="AP7" s="4">
        <v>0</v>
      </c>
      <c r="AQ7" s="4">
        <v>0</v>
      </c>
      <c r="AR7" s="4">
        <v>157440</v>
      </c>
      <c r="AS7" s="4">
        <v>71760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2039798</v>
      </c>
      <c r="AZ7" s="4">
        <v>1223508</v>
      </c>
      <c r="BA7" s="4">
        <v>0</v>
      </c>
      <c r="BB7" s="4">
        <v>229200</v>
      </c>
      <c r="BC7" s="4">
        <v>3263306</v>
      </c>
      <c r="BD7" s="4">
        <v>56171</v>
      </c>
      <c r="BE7" s="1" t="s">
        <v>310</v>
      </c>
      <c r="BF7" s="4">
        <v>0</v>
      </c>
      <c r="BG7" s="4">
        <v>0</v>
      </c>
      <c r="BH7" s="4">
        <v>0</v>
      </c>
      <c r="BI7" s="4">
        <v>0</v>
      </c>
      <c r="BJ7" s="4">
        <v>438480</v>
      </c>
      <c r="BK7" s="4">
        <v>338880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5680964</v>
      </c>
      <c r="BT7" s="4">
        <v>5777904</v>
      </c>
      <c r="BU7" s="4">
        <v>0</v>
      </c>
      <c r="BV7" s="4">
        <v>0</v>
      </c>
      <c r="BW7" s="4">
        <v>0</v>
      </c>
      <c r="BX7" s="4">
        <v>777360</v>
      </c>
      <c r="BY7" s="4">
        <v>11458868</v>
      </c>
      <c r="BZ7" s="4">
        <v>51521</v>
      </c>
      <c r="CA7" s="1" t="s">
        <v>311</v>
      </c>
      <c r="CB7" s="4">
        <v>0</v>
      </c>
      <c r="CC7" s="4">
        <v>0</v>
      </c>
      <c r="CD7" s="4">
        <v>0</v>
      </c>
      <c r="CE7" s="4">
        <v>0</v>
      </c>
      <c r="CF7" s="4">
        <v>443280</v>
      </c>
      <c r="CG7" s="4">
        <v>279600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5743153</v>
      </c>
      <c r="CP7" s="4">
        <v>4767180</v>
      </c>
      <c r="CQ7" s="4">
        <v>0</v>
      </c>
      <c r="CR7" s="4">
        <v>0</v>
      </c>
      <c r="CS7" s="4">
        <v>0</v>
      </c>
      <c r="CT7" s="4">
        <v>722880</v>
      </c>
      <c r="CU7" s="4">
        <v>10510333</v>
      </c>
      <c r="CV7" s="4">
        <v>47624</v>
      </c>
      <c r="CW7" s="1" t="s">
        <v>312</v>
      </c>
      <c r="CX7" s="4">
        <v>0</v>
      </c>
      <c r="CY7" s="4">
        <v>0</v>
      </c>
      <c r="CZ7" s="4">
        <v>0</v>
      </c>
      <c r="DA7" s="4">
        <v>0</v>
      </c>
      <c r="DB7" s="4">
        <v>429600</v>
      </c>
      <c r="DC7" s="4">
        <v>243360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5565914</v>
      </c>
      <c r="DL7" s="4">
        <v>4149288</v>
      </c>
      <c r="DM7" s="4">
        <v>0</v>
      </c>
      <c r="DN7" s="4">
        <v>0</v>
      </c>
      <c r="DO7" s="4">
        <v>0</v>
      </c>
      <c r="DP7" s="4">
        <v>672960</v>
      </c>
      <c r="DQ7" s="4">
        <v>9715202</v>
      </c>
      <c r="DR7" s="4">
        <v>48089</v>
      </c>
      <c r="DS7" s="1" t="s">
        <v>313</v>
      </c>
      <c r="DT7" s="4">
        <v>0</v>
      </c>
      <c r="DU7" s="4">
        <v>0</v>
      </c>
      <c r="DV7" s="4">
        <v>0</v>
      </c>
      <c r="DW7" s="4">
        <v>0</v>
      </c>
      <c r="DX7" s="4">
        <v>361440</v>
      </c>
      <c r="DY7" s="4">
        <v>300720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4682831</v>
      </c>
      <c r="EH7" s="4">
        <v>5127276</v>
      </c>
      <c r="EI7" s="4">
        <v>0</v>
      </c>
      <c r="EJ7" s="4">
        <v>0</v>
      </c>
      <c r="EK7" s="4">
        <v>0</v>
      </c>
      <c r="EL7" s="4">
        <v>662160</v>
      </c>
      <c r="EM7" s="4">
        <v>9810107</v>
      </c>
      <c r="EN7" s="4">
        <v>40240</v>
      </c>
      <c r="EO7" s="1" t="s">
        <v>314</v>
      </c>
      <c r="EP7" s="4">
        <v>0</v>
      </c>
      <c r="EQ7" s="4">
        <v>0</v>
      </c>
      <c r="ER7" s="4">
        <v>323760</v>
      </c>
      <c r="ES7" s="4">
        <v>235440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4194647</v>
      </c>
      <c r="EZ7" s="4">
        <v>4014252</v>
      </c>
      <c r="FA7" s="4">
        <v>0</v>
      </c>
      <c r="FB7" s="4">
        <v>0</v>
      </c>
      <c r="FC7" s="4">
        <v>0</v>
      </c>
      <c r="FD7" s="4">
        <v>559200</v>
      </c>
      <c r="FE7" s="4">
        <v>8208899</v>
      </c>
      <c r="FF7" s="4">
        <v>41579</v>
      </c>
      <c r="FG7" s="1" t="s">
        <v>315</v>
      </c>
      <c r="FH7" s="4">
        <v>0</v>
      </c>
      <c r="FI7" s="4">
        <v>0</v>
      </c>
      <c r="FJ7" s="4">
        <v>348000</v>
      </c>
      <c r="FK7" s="4">
        <v>233040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4508701</v>
      </c>
      <c r="FR7" s="4">
        <v>3973332</v>
      </c>
      <c r="FS7" s="4">
        <v>0</v>
      </c>
      <c r="FT7" s="4">
        <v>0</v>
      </c>
      <c r="FU7" s="4">
        <v>0</v>
      </c>
      <c r="FV7" s="4">
        <v>581040</v>
      </c>
      <c r="FW7" s="4">
        <v>8482033</v>
      </c>
      <c r="FX7" s="4">
        <v>40806</v>
      </c>
      <c r="FY7" s="1" t="s">
        <v>316</v>
      </c>
      <c r="FZ7" s="4">
        <v>0</v>
      </c>
      <c r="GA7" s="4">
        <v>0</v>
      </c>
      <c r="GB7" s="4">
        <v>347520</v>
      </c>
      <c r="GC7" s="4">
        <v>224160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4502483</v>
      </c>
      <c r="GJ7" s="4">
        <v>3821928</v>
      </c>
      <c r="GK7" s="4">
        <v>0</v>
      </c>
      <c r="GL7" s="4">
        <v>0</v>
      </c>
      <c r="GM7" s="4">
        <v>0</v>
      </c>
      <c r="GN7" s="4">
        <v>571680</v>
      </c>
      <c r="GO7" s="4">
        <v>8324411</v>
      </c>
      <c r="GP7" s="4">
        <v>27277</v>
      </c>
      <c r="GQ7" s="1" t="s">
        <v>317</v>
      </c>
      <c r="GR7" s="4">
        <v>0</v>
      </c>
      <c r="GS7" s="4">
        <v>276000</v>
      </c>
      <c r="GT7" s="4">
        <v>116640</v>
      </c>
      <c r="GU7" s="4">
        <v>0</v>
      </c>
      <c r="GV7" s="4">
        <v>0</v>
      </c>
      <c r="GW7" s="4">
        <v>0</v>
      </c>
      <c r="GX7" s="4">
        <v>0</v>
      </c>
      <c r="GY7" s="4">
        <v>3575867</v>
      </c>
      <c r="GZ7" s="4">
        <v>1988712</v>
      </c>
      <c r="HA7" s="4">
        <v>0</v>
      </c>
      <c r="HB7" s="4">
        <v>0</v>
      </c>
      <c r="HC7" s="4">
        <v>0</v>
      </c>
      <c r="HD7" s="4">
        <v>392640</v>
      </c>
      <c r="HE7" s="4">
        <v>5564579</v>
      </c>
    </row>
    <row x14ac:dyDescent="0.25" r="8" customHeight="1" ht="18">
      <c r="A8" s="1" t="s">
        <v>318</v>
      </c>
      <c r="B8" s="4">
        <v>21307</v>
      </c>
      <c r="C8" s="2" t="s">
        <v>319</v>
      </c>
      <c r="D8" s="4">
        <v>0</v>
      </c>
      <c r="E8" s="4">
        <v>0</v>
      </c>
      <c r="F8" s="4">
        <v>167760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4346661</v>
      </c>
      <c r="N8" s="4">
        <v>0</v>
      </c>
      <c r="O8" s="4">
        <v>0</v>
      </c>
      <c r="P8" s="4">
        <v>0</v>
      </c>
      <c r="Q8" s="4">
        <v>0</v>
      </c>
      <c r="R8" s="4">
        <v>167760</v>
      </c>
      <c r="S8" s="4">
        <v>4346661</v>
      </c>
      <c r="T8" s="4">
        <v>44108</v>
      </c>
      <c r="U8" s="2" t="s">
        <v>320</v>
      </c>
      <c r="V8" s="4">
        <v>0</v>
      </c>
      <c r="W8" s="4">
        <v>0</v>
      </c>
      <c r="X8" s="4">
        <v>347280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8998024</v>
      </c>
      <c r="AF8" s="4">
        <v>0</v>
      </c>
      <c r="AG8" s="4">
        <v>0</v>
      </c>
      <c r="AH8" s="4">
        <v>0</v>
      </c>
      <c r="AI8" s="4">
        <v>0</v>
      </c>
      <c r="AJ8" s="4">
        <v>347280</v>
      </c>
      <c r="AK8" s="4">
        <v>8998024</v>
      </c>
      <c r="AL8" s="4">
        <v>16217</v>
      </c>
      <c r="AM8" s="1" t="s">
        <v>321</v>
      </c>
      <c r="AN8" s="4">
        <v>0</v>
      </c>
      <c r="AO8" s="4">
        <v>0</v>
      </c>
      <c r="AP8" s="4">
        <v>127680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3308188</v>
      </c>
      <c r="AX8" s="4">
        <v>0</v>
      </c>
      <c r="AY8" s="4">
        <v>0</v>
      </c>
      <c r="AZ8" s="4">
        <v>0</v>
      </c>
      <c r="BA8" s="4">
        <v>0</v>
      </c>
      <c r="BB8" s="4">
        <v>127680</v>
      </c>
      <c r="BC8" s="4">
        <v>3308188</v>
      </c>
      <c r="BD8" s="4">
        <v>58038</v>
      </c>
      <c r="BE8" s="1" t="s">
        <v>322</v>
      </c>
      <c r="BF8" s="4">
        <v>0</v>
      </c>
      <c r="BG8" s="4">
        <v>0</v>
      </c>
      <c r="BH8" s="4">
        <v>456960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11839833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456960</v>
      </c>
      <c r="BY8" s="4">
        <v>11839833</v>
      </c>
      <c r="BZ8" s="4">
        <v>54381</v>
      </c>
      <c r="CA8" s="1" t="s">
        <v>323</v>
      </c>
      <c r="CB8" s="4">
        <v>0</v>
      </c>
      <c r="CC8" s="4">
        <v>0</v>
      </c>
      <c r="CD8" s="4">
        <v>428160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11093625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428160</v>
      </c>
      <c r="CU8" s="4">
        <v>11093625</v>
      </c>
      <c r="CV8" s="4">
        <v>52338</v>
      </c>
      <c r="CW8" s="1" t="s">
        <v>324</v>
      </c>
      <c r="CX8" s="4">
        <v>0</v>
      </c>
      <c r="CY8" s="4">
        <v>0</v>
      </c>
      <c r="CZ8" s="4">
        <v>412080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10676992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412080</v>
      </c>
      <c r="DQ8" s="4">
        <v>10676992</v>
      </c>
      <c r="DR8" s="4">
        <v>52887</v>
      </c>
      <c r="DS8" s="1" t="s">
        <v>325</v>
      </c>
      <c r="DT8" s="4">
        <v>0</v>
      </c>
      <c r="DU8" s="4">
        <v>0</v>
      </c>
      <c r="DV8" s="4">
        <v>416400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10788924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416400</v>
      </c>
      <c r="EM8" s="4">
        <v>10788924</v>
      </c>
      <c r="EN8" s="4">
        <v>57032</v>
      </c>
      <c r="EO8" s="1" t="s">
        <v>326</v>
      </c>
      <c r="EP8" s="4">
        <v>0</v>
      </c>
      <c r="EQ8" s="4">
        <v>449040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11634626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449040</v>
      </c>
      <c r="FE8" s="4">
        <v>11634626</v>
      </c>
      <c r="FF8" s="4">
        <v>56941</v>
      </c>
      <c r="FG8" s="1" t="s">
        <v>327</v>
      </c>
      <c r="FH8" s="4">
        <v>0</v>
      </c>
      <c r="FI8" s="4">
        <v>448320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11615971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448320</v>
      </c>
      <c r="FW8" s="4">
        <v>11615971</v>
      </c>
      <c r="FX8" s="4">
        <v>56941</v>
      </c>
      <c r="FY8" s="1" t="s">
        <v>327</v>
      </c>
      <c r="FZ8" s="4">
        <v>0</v>
      </c>
      <c r="GA8" s="4">
        <v>448320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11615971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448320</v>
      </c>
      <c r="GO8" s="4">
        <v>11615971</v>
      </c>
      <c r="GP8" s="4">
        <v>0</v>
      </c>
      <c r="GQ8" s="1" t="s">
        <v>112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</row>
    <row x14ac:dyDescent="0.25" r="9" customHeight="1" ht="18">
      <c r="A9" s="1" t="s">
        <v>328</v>
      </c>
      <c r="B9" s="4">
        <v>76140</v>
      </c>
      <c r="C9" s="2" t="s">
        <v>299</v>
      </c>
      <c r="D9" s="4">
        <v>0</v>
      </c>
      <c r="E9" s="4">
        <v>0</v>
      </c>
      <c r="F9" s="4">
        <v>0</v>
      </c>
      <c r="G9" s="4">
        <v>254640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15532608</v>
      </c>
      <c r="O9" s="4">
        <v>0</v>
      </c>
      <c r="P9" s="4">
        <v>0</v>
      </c>
      <c r="Q9" s="4">
        <v>0</v>
      </c>
      <c r="R9" s="4">
        <v>254640</v>
      </c>
      <c r="S9" s="4">
        <v>15532608</v>
      </c>
      <c r="T9" s="4">
        <v>72624</v>
      </c>
      <c r="U9" s="2" t="s">
        <v>329</v>
      </c>
      <c r="V9" s="4">
        <v>0</v>
      </c>
      <c r="W9" s="4">
        <v>0</v>
      </c>
      <c r="X9" s="4">
        <v>0</v>
      </c>
      <c r="Y9" s="4">
        <v>242880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14815268</v>
      </c>
      <c r="AG9" s="4">
        <v>0</v>
      </c>
      <c r="AH9" s="4">
        <v>0</v>
      </c>
      <c r="AI9" s="4">
        <v>0</v>
      </c>
      <c r="AJ9" s="4">
        <v>242880</v>
      </c>
      <c r="AK9" s="4">
        <v>14815268</v>
      </c>
      <c r="AL9" s="4">
        <v>4306</v>
      </c>
      <c r="AM9" s="1" t="s">
        <v>330</v>
      </c>
      <c r="AN9" s="4">
        <v>0</v>
      </c>
      <c r="AO9" s="4">
        <v>0</v>
      </c>
      <c r="AP9" s="4">
        <v>0</v>
      </c>
      <c r="AQ9" s="4">
        <v>14400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878375</v>
      </c>
      <c r="AY9" s="4">
        <v>0</v>
      </c>
      <c r="AZ9" s="4">
        <v>0</v>
      </c>
      <c r="BA9" s="4">
        <v>0</v>
      </c>
      <c r="BB9" s="4">
        <v>14400</v>
      </c>
      <c r="BC9" s="4">
        <v>878375</v>
      </c>
      <c r="BD9" s="4">
        <v>50952</v>
      </c>
      <c r="BE9" s="1" t="s">
        <v>331</v>
      </c>
      <c r="BF9" s="4">
        <v>0</v>
      </c>
      <c r="BG9" s="4">
        <v>0</v>
      </c>
      <c r="BH9" s="4">
        <v>0</v>
      </c>
      <c r="BI9" s="4">
        <v>170400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10394111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170400</v>
      </c>
      <c r="BY9" s="4">
        <v>10394111</v>
      </c>
      <c r="BZ9" s="4">
        <v>37317</v>
      </c>
      <c r="CA9" s="1" t="s">
        <v>332</v>
      </c>
      <c r="CB9" s="4">
        <v>0</v>
      </c>
      <c r="CC9" s="4">
        <v>0</v>
      </c>
      <c r="CD9" s="4">
        <v>0</v>
      </c>
      <c r="CE9" s="4">
        <v>124800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7612588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124800</v>
      </c>
      <c r="CU9" s="4">
        <v>7612588</v>
      </c>
      <c r="CV9" s="4">
        <v>37030</v>
      </c>
      <c r="CW9" s="1" t="s">
        <v>333</v>
      </c>
      <c r="CX9" s="4">
        <v>0</v>
      </c>
      <c r="CY9" s="4">
        <v>0</v>
      </c>
      <c r="CZ9" s="4">
        <v>0</v>
      </c>
      <c r="DA9" s="4">
        <v>123840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7554030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123840</v>
      </c>
      <c r="DQ9" s="4">
        <v>7554030</v>
      </c>
      <c r="DR9" s="4">
        <v>2942</v>
      </c>
      <c r="DS9" s="1" t="s">
        <v>334</v>
      </c>
      <c r="DT9" s="4">
        <v>0</v>
      </c>
      <c r="DU9" s="4">
        <v>0</v>
      </c>
      <c r="DV9" s="4">
        <v>0</v>
      </c>
      <c r="DW9" s="4">
        <v>9840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600223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9840</v>
      </c>
      <c r="EM9" s="4">
        <v>600223</v>
      </c>
      <c r="EN9" s="4">
        <v>0</v>
      </c>
      <c r="EO9" s="1" t="s">
        <v>112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1" t="s">
        <v>112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1" t="s">
        <v>112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1" t="s">
        <v>112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</row>
    <row x14ac:dyDescent="0.25" r="10" customHeight="1" ht="18">
      <c r="A10" s="1" t="s">
        <v>335</v>
      </c>
      <c r="B10" s="4">
        <v>75954</v>
      </c>
      <c r="C10" s="2" t="s">
        <v>336</v>
      </c>
      <c r="D10" s="4">
        <v>333360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15494572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333360</v>
      </c>
      <c r="S10" s="4">
        <v>15494572</v>
      </c>
      <c r="T10" s="4">
        <v>59768</v>
      </c>
      <c r="U10" s="2" t="s">
        <v>337</v>
      </c>
      <c r="V10" s="4">
        <v>262320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12192633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262320</v>
      </c>
      <c r="AK10" s="4">
        <v>12192633</v>
      </c>
      <c r="AL10" s="4">
        <v>15475</v>
      </c>
      <c r="AM10" s="1" t="s">
        <v>338</v>
      </c>
      <c r="AN10" s="4">
        <v>67920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3156921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67920</v>
      </c>
      <c r="BC10" s="4">
        <v>3156921</v>
      </c>
      <c r="BD10" s="4">
        <v>59276</v>
      </c>
      <c r="BE10" s="1" t="s">
        <v>339</v>
      </c>
      <c r="BF10" s="4">
        <v>260160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12092236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260160</v>
      </c>
      <c r="BY10" s="4">
        <v>12092236</v>
      </c>
      <c r="BZ10" s="4">
        <v>61463</v>
      </c>
      <c r="CA10" s="1" t="s">
        <v>340</v>
      </c>
      <c r="CB10" s="4">
        <v>269760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12538444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269760</v>
      </c>
      <c r="CU10" s="4">
        <v>12538444</v>
      </c>
      <c r="CV10" s="4">
        <v>63596</v>
      </c>
      <c r="CW10" s="1" t="s">
        <v>341</v>
      </c>
      <c r="CX10" s="4">
        <v>279120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12973497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279120</v>
      </c>
      <c r="DQ10" s="4">
        <v>12973497</v>
      </c>
      <c r="DR10" s="4">
        <v>67205</v>
      </c>
      <c r="DS10" s="1" t="s">
        <v>342</v>
      </c>
      <c r="DT10" s="4">
        <v>294960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13709740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294960</v>
      </c>
      <c r="EM10" s="4">
        <v>13709740</v>
      </c>
      <c r="EN10" s="4">
        <v>0</v>
      </c>
      <c r="EO10" s="1" t="s">
        <v>112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1" t="s">
        <v>112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1" t="s">
        <v>112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1" t="s">
        <v>112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</row>
    <row x14ac:dyDescent="0.25" r="11" customHeight="1" ht="18">
      <c r="A11" s="1" t="s">
        <v>343</v>
      </c>
      <c r="B11" s="4">
        <v>38817</v>
      </c>
      <c r="C11" s="2" t="s">
        <v>344</v>
      </c>
      <c r="D11" s="4">
        <v>0</v>
      </c>
      <c r="E11" s="4">
        <v>91680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7918731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91680</v>
      </c>
      <c r="S11" s="4">
        <v>7918731</v>
      </c>
      <c r="T11" s="4">
        <v>48979</v>
      </c>
      <c r="U11" s="2" t="s">
        <v>345</v>
      </c>
      <c r="V11" s="4">
        <v>0</v>
      </c>
      <c r="W11" s="4">
        <v>115680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9991698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115680</v>
      </c>
      <c r="AK11" s="4">
        <v>9991698</v>
      </c>
      <c r="AL11" s="4">
        <v>27640</v>
      </c>
      <c r="AM11" s="1" t="s">
        <v>346</v>
      </c>
      <c r="AN11" s="4">
        <v>0</v>
      </c>
      <c r="AO11" s="4">
        <v>65280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5638468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65280</v>
      </c>
      <c r="BC11" s="4">
        <v>5638468</v>
      </c>
      <c r="BD11" s="4">
        <v>57311</v>
      </c>
      <c r="BE11" s="1" t="s">
        <v>347</v>
      </c>
      <c r="BF11" s="4">
        <v>0</v>
      </c>
      <c r="BG11" s="4">
        <v>135360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11691530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135360</v>
      </c>
      <c r="BY11" s="4">
        <v>11691530</v>
      </c>
      <c r="BZ11" s="4">
        <v>58836</v>
      </c>
      <c r="CA11" s="1" t="s">
        <v>348</v>
      </c>
      <c r="CB11" s="4">
        <v>0</v>
      </c>
      <c r="CC11" s="4">
        <v>138960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12002475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138960</v>
      </c>
      <c r="CU11" s="4">
        <v>12002475</v>
      </c>
      <c r="CV11" s="4">
        <v>58937</v>
      </c>
      <c r="CW11" s="1" t="s">
        <v>349</v>
      </c>
      <c r="CX11" s="4">
        <v>0</v>
      </c>
      <c r="CY11" s="4">
        <v>139200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12023205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139200</v>
      </c>
      <c r="DQ11" s="4">
        <v>12023205</v>
      </c>
      <c r="DR11" s="4">
        <v>57820</v>
      </c>
      <c r="DS11" s="1" t="s">
        <v>350</v>
      </c>
      <c r="DT11" s="4">
        <v>0</v>
      </c>
      <c r="DU11" s="4">
        <v>136560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11795178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136560</v>
      </c>
      <c r="EM11" s="4">
        <v>11795178</v>
      </c>
      <c r="EN11" s="4">
        <v>54974</v>
      </c>
      <c r="EO11" s="1" t="s">
        <v>351</v>
      </c>
      <c r="EP11" s="4">
        <v>129840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11214748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129840</v>
      </c>
      <c r="FE11" s="4">
        <v>11214748</v>
      </c>
      <c r="FF11" s="4">
        <v>54161</v>
      </c>
      <c r="FG11" s="1" t="s">
        <v>352</v>
      </c>
      <c r="FH11" s="4">
        <v>127920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11048910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127920</v>
      </c>
      <c r="FW11" s="4">
        <v>11048910</v>
      </c>
      <c r="FX11" s="4">
        <v>9349</v>
      </c>
      <c r="FY11" s="1" t="s">
        <v>353</v>
      </c>
      <c r="FZ11" s="4">
        <v>22080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1907129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22080</v>
      </c>
      <c r="GO11" s="4">
        <v>1907129</v>
      </c>
      <c r="GP11" s="4">
        <v>10873</v>
      </c>
      <c r="GQ11" s="1" t="s">
        <v>354</v>
      </c>
      <c r="GR11" s="4">
        <v>25680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2218074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25680</v>
      </c>
      <c r="HE11" s="4">
        <v>2218074</v>
      </c>
    </row>
    <row x14ac:dyDescent="0.25" r="12" customHeight="1" ht="18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1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1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1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1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1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1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1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1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</row>
    <row x14ac:dyDescent="0.25" r="13" customHeight="1" ht="18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1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1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1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1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1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1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1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1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</row>
    <row x14ac:dyDescent="0.25" r="14" customHeight="1" ht="18">
      <c r="A14" s="1" t="s">
        <v>130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1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1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1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1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1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1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1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1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1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</row>
    <row x14ac:dyDescent="0.25" r="15" customHeight="1" ht="18">
      <c r="A15" s="1" t="s">
        <v>0</v>
      </c>
      <c r="B15" s="2" t="s">
        <v>5</v>
      </c>
      <c r="C15" s="2" t="s">
        <v>11</v>
      </c>
      <c r="D15" s="2" t="s">
        <v>17</v>
      </c>
      <c r="E15" s="2" t="s">
        <v>27</v>
      </c>
      <c r="F15" s="2" t="s">
        <v>37</v>
      </c>
      <c r="G15" s="2" t="s">
        <v>47</v>
      </c>
      <c r="H15" s="2" t="s">
        <v>57</v>
      </c>
      <c r="I15" s="2" t="s">
        <v>67</v>
      </c>
      <c r="J15" s="2" t="s">
        <v>77</v>
      </c>
      <c r="K15" s="2" t="s">
        <v>87</v>
      </c>
      <c r="L15" s="2" t="s">
        <v>97</v>
      </c>
      <c r="M15" s="2" t="s">
        <v>6</v>
      </c>
      <c r="N15" s="2" t="s">
        <v>12</v>
      </c>
      <c r="O15" s="2" t="s">
        <v>18</v>
      </c>
      <c r="P15" s="2" t="s">
        <v>28</v>
      </c>
      <c r="Q15" s="2" t="s">
        <v>38</v>
      </c>
      <c r="R15" s="2" t="s">
        <v>48</v>
      </c>
      <c r="S15" s="2" t="s">
        <v>58</v>
      </c>
      <c r="T15" s="2" t="s">
        <v>68</v>
      </c>
      <c r="U15" s="2" t="s">
        <v>78</v>
      </c>
      <c r="V15" s="2" t="s">
        <v>88</v>
      </c>
      <c r="W15" s="2" t="s">
        <v>98</v>
      </c>
      <c r="X15" s="3" t="s">
        <v>2</v>
      </c>
      <c r="Y15" s="3" t="s">
        <v>8</v>
      </c>
      <c r="Z15" s="3" t="s">
        <v>14</v>
      </c>
      <c r="AA15" s="3" t="s">
        <v>20</v>
      </c>
      <c r="AB15" s="3" t="s">
        <v>30</v>
      </c>
      <c r="AC15" s="3" t="s">
        <v>40</v>
      </c>
      <c r="AD15" s="3" t="s">
        <v>50</v>
      </c>
      <c r="AE15" s="3" t="s">
        <v>60</v>
      </c>
      <c r="AF15" s="3" t="s">
        <v>70</v>
      </c>
      <c r="AG15" s="3" t="s">
        <v>80</v>
      </c>
      <c r="AH15" s="3" t="s">
        <v>90</v>
      </c>
      <c r="AI15" s="3"/>
      <c r="AJ15" s="3"/>
      <c r="AK15" s="3"/>
      <c r="AL15" s="3"/>
      <c r="AM15" s="1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1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1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1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1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1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1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1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</row>
    <row x14ac:dyDescent="0.25" r="16" customHeight="1" ht="18">
      <c r="A16" s="1" t="s">
        <v>284</v>
      </c>
      <c r="B16" s="4">
        <v>0</v>
      </c>
      <c r="C16" s="4">
        <v>0</v>
      </c>
      <c r="D16" s="4">
        <v>0</v>
      </c>
      <c r="E16" s="4">
        <v>30000</v>
      </c>
      <c r="F16" s="4">
        <v>30000</v>
      </c>
      <c r="G16" s="4">
        <v>30000</v>
      </c>
      <c r="H16" s="4">
        <v>12240</v>
      </c>
      <c r="I16" s="4">
        <v>24960</v>
      </c>
      <c r="J16" s="4">
        <v>39840</v>
      </c>
      <c r="K16" s="4">
        <v>67920</v>
      </c>
      <c r="L16" s="4">
        <v>49920</v>
      </c>
      <c r="M16" s="4">
        <v>0</v>
      </c>
      <c r="N16" s="4">
        <v>0</v>
      </c>
      <c r="O16" s="4">
        <v>0</v>
      </c>
      <c r="P16" s="4">
        <v>2709000</v>
      </c>
      <c r="Q16" s="4">
        <v>2709000</v>
      </c>
      <c r="R16" s="4">
        <v>2709000</v>
      </c>
      <c r="S16" s="4">
        <v>1105272</v>
      </c>
      <c r="T16" s="4">
        <v>2253887</v>
      </c>
      <c r="U16" s="4">
        <v>3597552</v>
      </c>
      <c r="V16" s="4">
        <v>6133175</v>
      </c>
      <c r="W16" s="4">
        <v>4507775</v>
      </c>
      <c r="X16" s="3" t="s">
        <v>112</v>
      </c>
      <c r="Y16" s="3" t="s">
        <v>112</v>
      </c>
      <c r="Z16" s="3" t="s">
        <v>112</v>
      </c>
      <c r="AA16" s="3" t="s">
        <v>285</v>
      </c>
      <c r="AB16" s="3" t="s">
        <v>285</v>
      </c>
      <c r="AC16" s="3" t="s">
        <v>285</v>
      </c>
      <c r="AD16" s="3" t="s">
        <v>286</v>
      </c>
      <c r="AE16" s="3" t="s">
        <v>287</v>
      </c>
      <c r="AF16" s="3" t="s">
        <v>288</v>
      </c>
      <c r="AG16" s="3" t="s">
        <v>289</v>
      </c>
      <c r="AH16" s="3" t="s">
        <v>290</v>
      </c>
      <c r="AI16" s="3"/>
      <c r="AJ16" s="3"/>
      <c r="AK16" s="3"/>
      <c r="AL16" s="3"/>
      <c r="AM16" s="1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1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1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1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1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1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1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1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1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</row>
    <row x14ac:dyDescent="0.25" r="17" customHeight="1" ht="18">
      <c r="A17" s="1" t="s">
        <v>291</v>
      </c>
      <c r="B17" s="4">
        <v>53520</v>
      </c>
      <c r="C17" s="4">
        <v>34320</v>
      </c>
      <c r="D17" s="4">
        <v>6480</v>
      </c>
      <c r="E17" s="4">
        <v>166800</v>
      </c>
      <c r="F17" s="4">
        <v>180960</v>
      </c>
      <c r="G17" s="4">
        <v>211680</v>
      </c>
      <c r="H17" s="4">
        <v>233760</v>
      </c>
      <c r="I17" s="4">
        <v>254640</v>
      </c>
      <c r="J17" s="4">
        <v>254640</v>
      </c>
      <c r="K17" s="4">
        <v>254640</v>
      </c>
      <c r="L17" s="4">
        <v>254640</v>
      </c>
      <c r="M17" s="4">
        <v>3264720</v>
      </c>
      <c r="N17" s="4">
        <v>2093520</v>
      </c>
      <c r="O17" s="4">
        <v>395280</v>
      </c>
      <c r="P17" s="4">
        <v>10174800</v>
      </c>
      <c r="Q17" s="4">
        <v>11038560</v>
      </c>
      <c r="R17" s="4">
        <v>12912480</v>
      </c>
      <c r="S17" s="4">
        <v>14259360</v>
      </c>
      <c r="T17" s="4">
        <v>15533040</v>
      </c>
      <c r="U17" s="4">
        <v>15533040</v>
      </c>
      <c r="V17" s="4">
        <v>15533040</v>
      </c>
      <c r="W17" s="4">
        <v>15533040</v>
      </c>
      <c r="X17" s="3" t="s">
        <v>292</v>
      </c>
      <c r="Y17" s="3" t="s">
        <v>293</v>
      </c>
      <c r="Z17" s="3" t="s">
        <v>294</v>
      </c>
      <c r="AA17" s="3" t="s">
        <v>295</v>
      </c>
      <c r="AB17" s="3" t="s">
        <v>296</v>
      </c>
      <c r="AC17" s="3" t="s">
        <v>297</v>
      </c>
      <c r="AD17" s="3" t="s">
        <v>298</v>
      </c>
      <c r="AE17" s="3" t="s">
        <v>299</v>
      </c>
      <c r="AF17" s="3" t="s">
        <v>299</v>
      </c>
      <c r="AG17" s="3" t="s">
        <v>299</v>
      </c>
      <c r="AH17" s="3" t="s">
        <v>299</v>
      </c>
      <c r="AI17" s="3"/>
      <c r="AJ17" s="3"/>
      <c r="AK17" s="3"/>
      <c r="AL17" s="3"/>
      <c r="AM17" s="1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1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1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1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1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1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1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1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1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</row>
    <row x14ac:dyDescent="0.25" r="18" customHeight="1" ht="18">
      <c r="A18" s="1" t="s">
        <v>300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61680</v>
      </c>
      <c r="J18" s="4">
        <v>157680</v>
      </c>
      <c r="K18" s="4">
        <v>254640</v>
      </c>
      <c r="L18" s="4">
        <v>188160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3762480</v>
      </c>
      <c r="U18" s="4">
        <v>9618480</v>
      </c>
      <c r="V18" s="4">
        <v>15533040</v>
      </c>
      <c r="W18" s="4">
        <v>11477760</v>
      </c>
      <c r="X18" s="3" t="s">
        <v>112</v>
      </c>
      <c r="Y18" s="3" t="s">
        <v>112</v>
      </c>
      <c r="Z18" s="3" t="s">
        <v>112</v>
      </c>
      <c r="AA18" s="3" t="s">
        <v>112</v>
      </c>
      <c r="AB18" s="3" t="s">
        <v>112</v>
      </c>
      <c r="AC18" s="3" t="s">
        <v>112</v>
      </c>
      <c r="AD18" s="3" t="s">
        <v>112</v>
      </c>
      <c r="AE18" s="3" t="s">
        <v>301</v>
      </c>
      <c r="AF18" s="3" t="s">
        <v>302</v>
      </c>
      <c r="AG18" s="3" t="s">
        <v>299</v>
      </c>
      <c r="AH18" s="3" t="s">
        <v>303</v>
      </c>
      <c r="AI18" s="3"/>
      <c r="AJ18" s="3"/>
      <c r="AK18" s="3"/>
      <c r="AL18" s="3"/>
      <c r="AM18" s="1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1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1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1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1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1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1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1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1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</row>
    <row x14ac:dyDescent="0.25" r="19" customHeight="1" ht="18">
      <c r="A19" s="1" t="s">
        <v>304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84720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5167920</v>
      </c>
      <c r="W19" s="4">
        <v>0</v>
      </c>
      <c r="X19" s="3" t="s">
        <v>112</v>
      </c>
      <c r="Y19" s="3" t="s">
        <v>112</v>
      </c>
      <c r="Z19" s="3" t="s">
        <v>112</v>
      </c>
      <c r="AA19" s="3" t="s">
        <v>112</v>
      </c>
      <c r="AB19" s="3" t="s">
        <v>112</v>
      </c>
      <c r="AC19" s="3" t="s">
        <v>112</v>
      </c>
      <c r="AD19" s="3" t="s">
        <v>112</v>
      </c>
      <c r="AE19" s="3" t="s">
        <v>112</v>
      </c>
      <c r="AF19" s="3" t="s">
        <v>112</v>
      </c>
      <c r="AG19" s="3" t="s">
        <v>305</v>
      </c>
      <c r="AH19" s="3" t="s">
        <v>112</v>
      </c>
      <c r="AI19" s="3"/>
      <c r="AJ19" s="3"/>
      <c r="AK19" s="3"/>
      <c r="AL19" s="3"/>
      <c r="AM19" s="1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1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1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1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1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1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1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1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1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</row>
    <row x14ac:dyDescent="0.25" r="20" customHeight="1" ht="18">
      <c r="A20" s="1" t="s">
        <v>306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3" t="s">
        <v>112</v>
      </c>
      <c r="Y20" s="3" t="s">
        <v>112</v>
      </c>
      <c r="Z20" s="3" t="s">
        <v>112</v>
      </c>
      <c r="AA20" s="3" t="s">
        <v>112</v>
      </c>
      <c r="AB20" s="3" t="s">
        <v>112</v>
      </c>
      <c r="AC20" s="3" t="s">
        <v>112</v>
      </c>
      <c r="AD20" s="3" t="s">
        <v>112</v>
      </c>
      <c r="AE20" s="3" t="s">
        <v>112</v>
      </c>
      <c r="AF20" s="3" t="s">
        <v>112</v>
      </c>
      <c r="AG20" s="3" t="s">
        <v>112</v>
      </c>
      <c r="AH20" s="3" t="s">
        <v>112</v>
      </c>
      <c r="AI20" s="3"/>
      <c r="AJ20" s="3"/>
      <c r="AK20" s="3"/>
      <c r="AL20" s="3"/>
      <c r="AM20" s="1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1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1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1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1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1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1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1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1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</row>
    <row x14ac:dyDescent="0.25" r="21" customHeight="1" ht="18">
      <c r="A21" s="1" t="s">
        <v>307</v>
      </c>
      <c r="B21" s="4">
        <v>1057200</v>
      </c>
      <c r="C21" s="4">
        <v>1118880</v>
      </c>
      <c r="D21" s="4">
        <v>229200</v>
      </c>
      <c r="E21" s="4">
        <v>777360</v>
      </c>
      <c r="F21" s="4">
        <v>722880</v>
      </c>
      <c r="G21" s="4">
        <v>672960</v>
      </c>
      <c r="H21" s="4">
        <v>662160</v>
      </c>
      <c r="I21" s="4">
        <v>559200</v>
      </c>
      <c r="J21" s="4">
        <v>581040</v>
      </c>
      <c r="K21" s="4">
        <v>571680</v>
      </c>
      <c r="L21" s="4">
        <v>392640</v>
      </c>
      <c r="M21" s="4">
        <v>15543337</v>
      </c>
      <c r="N21" s="4">
        <v>15545617</v>
      </c>
      <c r="O21" s="4">
        <v>3263306</v>
      </c>
      <c r="P21" s="4">
        <v>11458868</v>
      </c>
      <c r="Q21" s="4">
        <v>10510333</v>
      </c>
      <c r="R21" s="4">
        <v>9715202</v>
      </c>
      <c r="S21" s="4">
        <v>9810107</v>
      </c>
      <c r="T21" s="4">
        <v>8208899</v>
      </c>
      <c r="U21" s="4">
        <v>8482033</v>
      </c>
      <c r="V21" s="4">
        <v>8324411</v>
      </c>
      <c r="W21" s="4">
        <v>5564579</v>
      </c>
      <c r="X21" s="3" t="s">
        <v>308</v>
      </c>
      <c r="Y21" s="3" t="s">
        <v>109</v>
      </c>
      <c r="Z21" s="3" t="s">
        <v>309</v>
      </c>
      <c r="AA21" s="3" t="s">
        <v>310</v>
      </c>
      <c r="AB21" s="3" t="s">
        <v>311</v>
      </c>
      <c r="AC21" s="3" t="s">
        <v>312</v>
      </c>
      <c r="AD21" s="3" t="s">
        <v>313</v>
      </c>
      <c r="AE21" s="3" t="s">
        <v>314</v>
      </c>
      <c r="AF21" s="3" t="s">
        <v>315</v>
      </c>
      <c r="AG21" s="3" t="s">
        <v>316</v>
      </c>
      <c r="AH21" s="3" t="s">
        <v>317</v>
      </c>
      <c r="AI21" s="3"/>
      <c r="AJ21" s="3"/>
      <c r="AK21" s="3"/>
      <c r="AL21" s="3"/>
      <c r="AM21" s="1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1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1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1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1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1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1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1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1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</row>
    <row x14ac:dyDescent="0.25" r="22" customHeight="1" ht="18">
      <c r="A22" s="1" t="s">
        <v>318</v>
      </c>
      <c r="B22" s="4">
        <v>167760</v>
      </c>
      <c r="C22" s="4">
        <v>347280</v>
      </c>
      <c r="D22" s="4">
        <v>127680</v>
      </c>
      <c r="E22" s="4">
        <v>456960</v>
      </c>
      <c r="F22" s="4">
        <v>428160</v>
      </c>
      <c r="G22" s="4">
        <v>412080</v>
      </c>
      <c r="H22" s="4">
        <v>416400</v>
      </c>
      <c r="I22" s="4">
        <v>449040</v>
      </c>
      <c r="J22" s="4">
        <v>448320</v>
      </c>
      <c r="K22" s="4">
        <v>448320</v>
      </c>
      <c r="L22" s="4">
        <v>0</v>
      </c>
      <c r="M22" s="4">
        <v>4346661</v>
      </c>
      <c r="N22" s="4">
        <v>8998024</v>
      </c>
      <c r="O22" s="4">
        <v>3308188</v>
      </c>
      <c r="P22" s="4">
        <v>11839833</v>
      </c>
      <c r="Q22" s="4">
        <v>11093625</v>
      </c>
      <c r="R22" s="4">
        <v>10676992</v>
      </c>
      <c r="S22" s="4">
        <v>10788924</v>
      </c>
      <c r="T22" s="4">
        <v>11634626</v>
      </c>
      <c r="U22" s="4">
        <v>11615971</v>
      </c>
      <c r="V22" s="4">
        <v>11615971</v>
      </c>
      <c r="W22" s="4">
        <v>0</v>
      </c>
      <c r="X22" s="3" t="s">
        <v>319</v>
      </c>
      <c r="Y22" s="3" t="s">
        <v>320</v>
      </c>
      <c r="Z22" s="3" t="s">
        <v>321</v>
      </c>
      <c r="AA22" s="3" t="s">
        <v>322</v>
      </c>
      <c r="AB22" s="3" t="s">
        <v>323</v>
      </c>
      <c r="AC22" s="3" t="s">
        <v>324</v>
      </c>
      <c r="AD22" s="3" t="s">
        <v>325</v>
      </c>
      <c r="AE22" s="3" t="s">
        <v>326</v>
      </c>
      <c r="AF22" s="3" t="s">
        <v>327</v>
      </c>
      <c r="AG22" s="3" t="s">
        <v>327</v>
      </c>
      <c r="AH22" s="3" t="s">
        <v>112</v>
      </c>
      <c r="AI22" s="3"/>
      <c r="AJ22" s="3"/>
      <c r="AK22" s="3"/>
      <c r="AL22" s="3"/>
      <c r="AM22" s="1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1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1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1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1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1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1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1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1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</row>
    <row x14ac:dyDescent="0.25" r="23" customHeight="1" ht="18">
      <c r="A23" s="1" t="s">
        <v>328</v>
      </c>
      <c r="B23" s="4">
        <v>254640</v>
      </c>
      <c r="C23" s="4">
        <v>242880</v>
      </c>
      <c r="D23" s="4">
        <v>14400</v>
      </c>
      <c r="E23" s="4">
        <v>170400</v>
      </c>
      <c r="F23" s="4">
        <v>124800</v>
      </c>
      <c r="G23" s="4">
        <v>123840</v>
      </c>
      <c r="H23" s="4">
        <v>9840</v>
      </c>
      <c r="I23" s="4">
        <v>0</v>
      </c>
      <c r="J23" s="4">
        <v>0</v>
      </c>
      <c r="K23" s="4">
        <v>0</v>
      </c>
      <c r="L23" s="4">
        <v>0</v>
      </c>
      <c r="M23" s="4">
        <v>15532608</v>
      </c>
      <c r="N23" s="4">
        <v>14815268</v>
      </c>
      <c r="O23" s="4">
        <v>878375</v>
      </c>
      <c r="P23" s="4">
        <v>10394111</v>
      </c>
      <c r="Q23" s="4">
        <v>7612588</v>
      </c>
      <c r="R23" s="4">
        <v>7554030</v>
      </c>
      <c r="S23" s="4">
        <v>600223</v>
      </c>
      <c r="T23" s="4">
        <v>0</v>
      </c>
      <c r="U23" s="4">
        <v>0</v>
      </c>
      <c r="V23" s="4">
        <v>0</v>
      </c>
      <c r="W23" s="4">
        <v>0</v>
      </c>
      <c r="X23" s="3" t="s">
        <v>299</v>
      </c>
      <c r="Y23" s="3" t="s">
        <v>329</v>
      </c>
      <c r="Z23" s="3" t="s">
        <v>330</v>
      </c>
      <c r="AA23" s="3" t="s">
        <v>331</v>
      </c>
      <c r="AB23" s="3" t="s">
        <v>332</v>
      </c>
      <c r="AC23" s="3" t="s">
        <v>333</v>
      </c>
      <c r="AD23" s="3" t="s">
        <v>334</v>
      </c>
      <c r="AE23" s="3" t="s">
        <v>112</v>
      </c>
      <c r="AF23" s="3" t="s">
        <v>112</v>
      </c>
      <c r="AG23" s="3" t="s">
        <v>112</v>
      </c>
      <c r="AH23" s="3" t="s">
        <v>112</v>
      </c>
      <c r="AI23" s="3"/>
      <c r="AJ23" s="3"/>
      <c r="AK23" s="3"/>
      <c r="AL23" s="3"/>
      <c r="AM23" s="1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1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1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1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1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1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1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1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1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</row>
    <row x14ac:dyDescent="0.25" r="24" customHeight="1" ht="18">
      <c r="A24" s="1" t="s">
        <v>335</v>
      </c>
      <c r="B24" s="4">
        <v>333360</v>
      </c>
      <c r="C24" s="4">
        <v>262320</v>
      </c>
      <c r="D24" s="4">
        <v>67920</v>
      </c>
      <c r="E24" s="4">
        <v>260160</v>
      </c>
      <c r="F24" s="4">
        <v>269760</v>
      </c>
      <c r="G24" s="4">
        <v>279120</v>
      </c>
      <c r="H24" s="4">
        <v>294960</v>
      </c>
      <c r="I24" s="4">
        <v>0</v>
      </c>
      <c r="J24" s="4">
        <v>0</v>
      </c>
      <c r="K24" s="4">
        <v>0</v>
      </c>
      <c r="L24" s="4">
        <v>0</v>
      </c>
      <c r="M24" s="4">
        <v>15494572</v>
      </c>
      <c r="N24" s="4">
        <v>12192633</v>
      </c>
      <c r="O24" s="4">
        <v>3156921</v>
      </c>
      <c r="P24" s="4">
        <v>12092236</v>
      </c>
      <c r="Q24" s="4">
        <v>12538444</v>
      </c>
      <c r="R24" s="4">
        <v>12973497</v>
      </c>
      <c r="S24" s="4">
        <v>13709740</v>
      </c>
      <c r="T24" s="4">
        <v>0</v>
      </c>
      <c r="U24" s="4">
        <v>0</v>
      </c>
      <c r="V24" s="4">
        <v>0</v>
      </c>
      <c r="W24" s="4">
        <v>0</v>
      </c>
      <c r="X24" s="3" t="s">
        <v>336</v>
      </c>
      <c r="Y24" s="3" t="s">
        <v>337</v>
      </c>
      <c r="Z24" s="3" t="s">
        <v>338</v>
      </c>
      <c r="AA24" s="3" t="s">
        <v>339</v>
      </c>
      <c r="AB24" s="3" t="s">
        <v>340</v>
      </c>
      <c r="AC24" s="3" t="s">
        <v>341</v>
      </c>
      <c r="AD24" s="3" t="s">
        <v>342</v>
      </c>
      <c r="AE24" s="3" t="s">
        <v>112</v>
      </c>
      <c r="AF24" s="3" t="s">
        <v>112</v>
      </c>
      <c r="AG24" s="3" t="s">
        <v>112</v>
      </c>
      <c r="AH24" s="3" t="s">
        <v>112</v>
      </c>
      <c r="AI24" s="3"/>
      <c r="AJ24" s="3"/>
      <c r="AK24" s="3"/>
      <c r="AL24" s="3"/>
      <c r="AM24" s="1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1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1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1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1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1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1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1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1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</row>
    <row x14ac:dyDescent="0.25" r="25" customHeight="1" ht="18">
      <c r="A25" s="1" t="s">
        <v>343</v>
      </c>
      <c r="B25" s="4">
        <v>91680</v>
      </c>
      <c r="C25" s="4">
        <v>115680</v>
      </c>
      <c r="D25" s="4">
        <v>65280</v>
      </c>
      <c r="E25" s="4">
        <v>135360</v>
      </c>
      <c r="F25" s="4">
        <v>138960</v>
      </c>
      <c r="G25" s="4">
        <v>139200</v>
      </c>
      <c r="H25" s="4">
        <v>136560</v>
      </c>
      <c r="I25" s="4">
        <v>129840</v>
      </c>
      <c r="J25" s="4">
        <v>127920</v>
      </c>
      <c r="K25" s="4">
        <v>22080</v>
      </c>
      <c r="L25" s="4">
        <v>25680</v>
      </c>
      <c r="M25" s="4">
        <v>7918731</v>
      </c>
      <c r="N25" s="4">
        <v>9991698</v>
      </c>
      <c r="O25" s="4">
        <v>5638468</v>
      </c>
      <c r="P25" s="4">
        <v>11691530</v>
      </c>
      <c r="Q25" s="4">
        <v>12002475</v>
      </c>
      <c r="R25" s="4">
        <v>12023205</v>
      </c>
      <c r="S25" s="4">
        <v>11795178</v>
      </c>
      <c r="T25" s="4">
        <v>11214748</v>
      </c>
      <c r="U25" s="4">
        <v>11048910</v>
      </c>
      <c r="V25" s="4">
        <v>1907129</v>
      </c>
      <c r="W25" s="4">
        <v>2218074</v>
      </c>
      <c r="X25" s="3" t="s">
        <v>344</v>
      </c>
      <c r="Y25" s="3" t="s">
        <v>345</v>
      </c>
      <c r="Z25" s="3" t="s">
        <v>346</v>
      </c>
      <c r="AA25" s="3" t="s">
        <v>347</v>
      </c>
      <c r="AB25" s="3" t="s">
        <v>348</v>
      </c>
      <c r="AC25" s="3" t="s">
        <v>349</v>
      </c>
      <c r="AD25" s="3" t="s">
        <v>350</v>
      </c>
      <c r="AE25" s="3" t="s">
        <v>351</v>
      </c>
      <c r="AF25" s="3" t="s">
        <v>352</v>
      </c>
      <c r="AG25" s="3" t="s">
        <v>353</v>
      </c>
      <c r="AH25" s="3" t="s">
        <v>354</v>
      </c>
      <c r="AI25" s="3"/>
      <c r="AJ25" s="3"/>
      <c r="AK25" s="3"/>
      <c r="AL25" s="3"/>
      <c r="AM25" s="1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1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1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1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1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1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1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1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1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U75"/>
  <sheetViews>
    <sheetView workbookViewId="0"/>
  </sheetViews>
  <sheetFormatPr defaultRowHeight="15" x14ac:dyDescent="0.25"/>
  <cols>
    <col min="1" max="1" style="5" width="29.005" customWidth="1" bestFit="1"/>
    <col min="2" max="2" style="6" width="27.005" customWidth="1" bestFit="1"/>
    <col min="3" max="3" style="6" width="27.005" customWidth="1" bestFit="1"/>
    <col min="4" max="4" style="6" width="30.005" customWidth="1" bestFit="1"/>
    <col min="5" max="5" style="6" width="32.005" customWidth="1" bestFit="1"/>
    <col min="6" max="6" style="6" width="27.005" customWidth="1" bestFit="1"/>
    <col min="7" max="7" style="6" width="29.005" customWidth="1" bestFit="1"/>
    <col min="8" max="8" style="6" width="27.005" customWidth="1" bestFit="1"/>
    <col min="9" max="9" style="6" width="27.005" customWidth="1" bestFit="1"/>
    <col min="10" max="10" style="6" width="30.005" customWidth="1" bestFit="1"/>
    <col min="11" max="11" style="6" width="32.005" customWidth="1" bestFit="1"/>
    <col min="12" max="12" style="6" width="27.005" customWidth="1" bestFit="1"/>
    <col min="13" max="13" style="6" width="29.005" customWidth="1" bestFit="1"/>
    <col min="14" max="14" style="6" width="29.005" customWidth="1" bestFit="1"/>
    <col min="15" max="15" style="6" width="29.005" customWidth="1" bestFit="1"/>
    <col min="16" max="16" style="6" width="30.005" customWidth="1" bestFit="1"/>
    <col min="17" max="17" style="6" width="32.005" customWidth="1" bestFit="1"/>
    <col min="18" max="18" style="6" width="29.005" customWidth="1" bestFit="1"/>
    <col min="19" max="19" style="6" width="29.005" customWidth="1" bestFit="1"/>
    <col min="20" max="20" style="6" width="29.005" customWidth="1" bestFit="1"/>
    <col min="21" max="21" style="6" width="29.005" customWidth="1" bestFit="1"/>
    <col min="22" max="22" style="6" width="29.005" customWidth="1" bestFit="1"/>
    <col min="23" max="23" style="6" width="30.005" customWidth="1" bestFit="1"/>
    <col min="24" max="24" style="7" width="30.005" customWidth="1" bestFit="1"/>
    <col min="25" max="25" style="7" width="28.005" customWidth="1" bestFit="1"/>
    <col min="26" max="26" style="7" width="32.005" customWidth="1" bestFit="1"/>
    <col min="27" max="27" style="7" width="32.005" customWidth="1" bestFit="1"/>
    <col min="28" max="28" style="7" width="27.005" customWidth="1" bestFit="1"/>
    <col min="29" max="29" style="7" width="29.005" customWidth="1" bestFit="1"/>
    <col min="30" max="30" style="7" width="23.005" customWidth="1" bestFit="1"/>
    <col min="31" max="31" style="5" width="22.005" customWidth="1" bestFit="1"/>
    <col min="32" max="32" style="7" width="26.005" customWidth="1" bestFit="1"/>
    <col min="33" max="33" style="7" width="30.005" customWidth="1" bestFit="1"/>
    <col min="34" max="34" style="7" width="30.005" customWidth="1" bestFit="1"/>
    <col min="35" max="35" style="7" width="28.005" customWidth="1" bestFit="1"/>
    <col min="36" max="36" style="7" width="32.005" customWidth="1" bestFit="1"/>
    <col min="37" max="37" style="7" width="32.005" customWidth="1" bestFit="1"/>
    <col min="38" max="38" style="7" width="27.005" customWidth="1" bestFit="1"/>
    <col min="39" max="39" style="7" width="29.005" customWidth="1" bestFit="1"/>
    <col min="40" max="40" style="7" width="23.005" customWidth="1" bestFit="1"/>
    <col min="41" max="41" style="5" width="22.005" customWidth="1" bestFit="1"/>
    <col min="42" max="42" style="7" width="26.005" customWidth="1" bestFit="1"/>
    <col min="43" max="43" style="7" width="30.005" customWidth="1" bestFit="1"/>
    <col min="44" max="44" style="7" width="30.005" customWidth="1" bestFit="1"/>
    <col min="45" max="45" style="7" width="28.005" customWidth="1" bestFit="1"/>
    <col min="46" max="46" style="7" width="32.005" customWidth="1" bestFit="1"/>
    <col min="47" max="47" style="7" width="32.005" customWidth="1" bestFit="1"/>
    <col min="48" max="48" style="7" width="27.005" customWidth="1" bestFit="1"/>
    <col min="49" max="49" style="7" width="29.005" customWidth="1" bestFit="1"/>
    <col min="50" max="50" style="7" width="23.005" customWidth="1" bestFit="1"/>
    <col min="51" max="51" style="5" width="22.005" customWidth="1" bestFit="1"/>
    <col min="52" max="52" style="7" width="26.005" customWidth="1" bestFit="1"/>
    <col min="53" max="53" style="7" width="30.005" customWidth="1" bestFit="1"/>
    <col min="54" max="54" style="7" width="30.005" customWidth="1" bestFit="1"/>
    <col min="55" max="55" style="7" width="28.005" customWidth="1" bestFit="1"/>
    <col min="56" max="56" style="7" width="32.005" customWidth="1" bestFit="1"/>
    <col min="57" max="57" style="7" width="32.005" customWidth="1" bestFit="1"/>
    <col min="58" max="58" style="7" width="27.005" customWidth="1" bestFit="1"/>
    <col min="59" max="59" style="7" width="29.005" customWidth="1" bestFit="1"/>
    <col min="60" max="60" style="7" width="23.005" customWidth="1" bestFit="1"/>
    <col min="61" max="61" style="5" width="22.005" customWidth="1" bestFit="1"/>
    <col min="62" max="62" style="7" width="26.005" customWidth="1" bestFit="1"/>
    <col min="63" max="63" style="7" width="30.005" customWidth="1" bestFit="1"/>
    <col min="64" max="64" style="7" width="30.005" customWidth="1" bestFit="1"/>
    <col min="65" max="65" style="7" width="28.005" customWidth="1" bestFit="1"/>
    <col min="66" max="66" style="7" width="32.005" customWidth="1" bestFit="1"/>
    <col min="67" max="67" style="7" width="32.005" customWidth="1" bestFit="1"/>
    <col min="68" max="68" style="7" width="27.005" customWidth="1" bestFit="1"/>
    <col min="69" max="69" style="7" width="29.005" customWidth="1" bestFit="1"/>
    <col min="70" max="70" style="7" width="23.005" customWidth="1" bestFit="1"/>
    <col min="71" max="71" style="5" width="22.005" customWidth="1" bestFit="1"/>
    <col min="72" max="72" style="7" width="26.005" customWidth="1" bestFit="1"/>
    <col min="73" max="73" style="7" width="30.005" customWidth="1" bestFit="1"/>
    <col min="74" max="74" style="7" width="30.005" customWidth="1" bestFit="1"/>
    <col min="75" max="75" style="7" width="28.005" customWidth="1" bestFit="1"/>
    <col min="76" max="76" style="7" width="32.005" customWidth="1" bestFit="1"/>
    <col min="77" max="77" style="7" width="32.005" customWidth="1" bestFit="1"/>
    <col min="78" max="78" style="7" width="27.005" customWidth="1" bestFit="1"/>
    <col min="79" max="79" style="7" width="29.005" customWidth="1" bestFit="1"/>
    <col min="80" max="80" style="7" width="23.005" customWidth="1" bestFit="1"/>
    <col min="81" max="81" style="5" width="22.005" customWidth="1" bestFit="1"/>
    <col min="82" max="82" style="7" width="26.005" customWidth="1" bestFit="1"/>
    <col min="83" max="83" style="7" width="30.005" customWidth="1" bestFit="1"/>
    <col min="84" max="84" style="7" width="30.005" customWidth="1" bestFit="1"/>
    <col min="85" max="85" style="7" width="28.005" customWidth="1" bestFit="1"/>
    <col min="86" max="86" style="7" width="32.005" customWidth="1" bestFit="1"/>
    <col min="87" max="87" style="7" width="32.005" customWidth="1" bestFit="1"/>
    <col min="88" max="88" style="7" width="27.005" customWidth="1" bestFit="1"/>
    <col min="89" max="89" style="7" width="29.005" customWidth="1" bestFit="1"/>
    <col min="90" max="90" style="7" width="23.005" customWidth="1" bestFit="1"/>
    <col min="91" max="91" style="5" width="22.005" customWidth="1" bestFit="1"/>
    <col min="92" max="92" style="7" width="26.005" customWidth="1" bestFit="1"/>
    <col min="93" max="93" style="7" width="30.005" customWidth="1" bestFit="1"/>
    <col min="94" max="94" style="7" width="30.005" customWidth="1" bestFit="1"/>
    <col min="95" max="95" style="7" width="28.005" customWidth="1" bestFit="1"/>
    <col min="96" max="96" style="7" width="32.005" customWidth="1" bestFit="1"/>
    <col min="97" max="97" style="7" width="32.005" customWidth="1" bestFit="1"/>
    <col min="98" max="98" style="7" width="27.005" customWidth="1" bestFit="1"/>
    <col min="99" max="99" style="7" width="29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23</v>
      </c>
      <c r="X1" s="3" t="s">
        <v>22</v>
      </c>
      <c r="Y1" s="3" t="s">
        <v>24</v>
      </c>
      <c r="Z1" s="3" t="s">
        <v>26</v>
      </c>
      <c r="AA1" s="3" t="s">
        <v>25</v>
      </c>
      <c r="AB1" s="3" t="s">
        <v>27</v>
      </c>
      <c r="AC1" s="3" t="s">
        <v>28</v>
      </c>
      <c r="AD1" s="3" t="s">
        <v>29</v>
      </c>
      <c r="AE1" s="1" t="s">
        <v>30</v>
      </c>
      <c r="AF1" s="3" t="s">
        <v>31</v>
      </c>
      <c r="AG1" s="3" t="s">
        <v>33</v>
      </c>
      <c r="AH1" s="3" t="s">
        <v>32</v>
      </c>
      <c r="AI1" s="3" t="s">
        <v>34</v>
      </c>
      <c r="AJ1" s="3" t="s">
        <v>36</v>
      </c>
      <c r="AK1" s="3" t="s">
        <v>35</v>
      </c>
      <c r="AL1" s="3" t="s">
        <v>37</v>
      </c>
      <c r="AM1" s="3" t="s">
        <v>38</v>
      </c>
      <c r="AN1" s="3" t="s">
        <v>39</v>
      </c>
      <c r="AO1" s="1" t="s">
        <v>40</v>
      </c>
      <c r="AP1" s="3" t="s">
        <v>41</v>
      </c>
      <c r="AQ1" s="3" t="s">
        <v>43</v>
      </c>
      <c r="AR1" s="3" t="s">
        <v>42</v>
      </c>
      <c r="AS1" s="3" t="s">
        <v>44</v>
      </c>
      <c r="AT1" s="3" t="s">
        <v>46</v>
      </c>
      <c r="AU1" s="3" t="s">
        <v>45</v>
      </c>
      <c r="AV1" s="3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53</v>
      </c>
      <c r="BB1" s="3" t="s">
        <v>52</v>
      </c>
      <c r="BC1" s="3" t="s">
        <v>54</v>
      </c>
      <c r="BD1" s="3" t="s">
        <v>56</v>
      </c>
      <c r="BE1" s="3" t="s">
        <v>55</v>
      </c>
      <c r="BF1" s="3" t="s">
        <v>57</v>
      </c>
      <c r="BG1" s="3" t="s">
        <v>58</v>
      </c>
      <c r="BH1" s="3" t="s">
        <v>59</v>
      </c>
      <c r="BI1" s="1" t="s">
        <v>60</v>
      </c>
      <c r="BJ1" s="3" t="s">
        <v>61</v>
      </c>
      <c r="BK1" s="3" t="s">
        <v>63</v>
      </c>
      <c r="BL1" s="3" t="s">
        <v>62</v>
      </c>
      <c r="BM1" s="3" t="s">
        <v>64</v>
      </c>
      <c r="BN1" s="3" t="s">
        <v>66</v>
      </c>
      <c r="BO1" s="3" t="s">
        <v>65</v>
      </c>
      <c r="BP1" s="3" t="s">
        <v>67</v>
      </c>
      <c r="BQ1" s="3" t="s">
        <v>68</v>
      </c>
      <c r="BR1" s="3" t="s">
        <v>69</v>
      </c>
      <c r="BS1" s="1" t="s">
        <v>70</v>
      </c>
      <c r="BT1" s="3" t="s">
        <v>71</v>
      </c>
      <c r="BU1" s="3" t="s">
        <v>73</v>
      </c>
      <c r="BV1" s="3" t="s">
        <v>72</v>
      </c>
      <c r="BW1" s="3" t="s">
        <v>74</v>
      </c>
      <c r="BX1" s="3" t="s">
        <v>76</v>
      </c>
      <c r="BY1" s="3" t="s">
        <v>75</v>
      </c>
      <c r="BZ1" s="3" t="s">
        <v>77</v>
      </c>
      <c r="CA1" s="3" t="s">
        <v>78</v>
      </c>
      <c r="CB1" s="3" t="s">
        <v>79</v>
      </c>
      <c r="CC1" s="1" t="s">
        <v>80</v>
      </c>
      <c r="CD1" s="3" t="s">
        <v>81</v>
      </c>
      <c r="CE1" s="3" t="s">
        <v>83</v>
      </c>
      <c r="CF1" s="3" t="s">
        <v>82</v>
      </c>
      <c r="CG1" s="3" t="s">
        <v>84</v>
      </c>
      <c r="CH1" s="3" t="s">
        <v>86</v>
      </c>
      <c r="CI1" s="3" t="s">
        <v>85</v>
      </c>
      <c r="CJ1" s="3" t="s">
        <v>87</v>
      </c>
      <c r="CK1" s="3" t="s">
        <v>88</v>
      </c>
      <c r="CL1" s="3" t="s">
        <v>89</v>
      </c>
      <c r="CM1" s="1" t="s">
        <v>90</v>
      </c>
      <c r="CN1" s="3" t="s">
        <v>91</v>
      </c>
      <c r="CO1" s="3" t="s">
        <v>93</v>
      </c>
      <c r="CP1" s="3" t="s">
        <v>92</v>
      </c>
      <c r="CQ1" s="3" t="s">
        <v>94</v>
      </c>
      <c r="CR1" s="3" t="s">
        <v>96</v>
      </c>
      <c r="CS1" s="3" t="s">
        <v>95</v>
      </c>
      <c r="CT1" s="3" t="s">
        <v>97</v>
      </c>
      <c r="CU1" s="3" t="s">
        <v>98</v>
      </c>
    </row>
    <row x14ac:dyDescent="0.25" r="2" customHeight="1" ht="18">
      <c r="A2" s="1" t="s">
        <v>131</v>
      </c>
      <c r="B2" s="4">
        <v>76093</v>
      </c>
      <c r="C2" s="2" t="s">
        <v>132</v>
      </c>
      <c r="D2" s="4">
        <v>23280</v>
      </c>
      <c r="E2" s="4">
        <v>15522917</v>
      </c>
      <c r="F2" s="4">
        <v>23280</v>
      </c>
      <c r="G2" s="4">
        <v>15522917</v>
      </c>
      <c r="H2" s="4">
        <v>76093</v>
      </c>
      <c r="I2" s="2" t="s">
        <v>132</v>
      </c>
      <c r="J2" s="4">
        <v>23280</v>
      </c>
      <c r="K2" s="4">
        <v>15522917</v>
      </c>
      <c r="L2" s="4">
        <v>23280</v>
      </c>
      <c r="M2" s="4">
        <v>15522917</v>
      </c>
      <c r="N2" s="4">
        <v>21180</v>
      </c>
      <c r="O2" s="2" t="s">
        <v>133</v>
      </c>
      <c r="P2" s="4">
        <v>6480</v>
      </c>
      <c r="Q2" s="4">
        <v>4320812</v>
      </c>
      <c r="R2" s="4">
        <v>6480</v>
      </c>
      <c r="S2" s="4">
        <v>4320812</v>
      </c>
      <c r="T2" s="4">
        <v>76093</v>
      </c>
      <c r="U2" s="2" t="s">
        <v>132</v>
      </c>
      <c r="V2" s="4">
        <v>0</v>
      </c>
      <c r="W2" s="4">
        <v>23280</v>
      </c>
      <c r="X2" s="4">
        <v>0</v>
      </c>
      <c r="Y2" s="4">
        <v>0</v>
      </c>
      <c r="Z2" s="4">
        <v>15522917</v>
      </c>
      <c r="AA2" s="4">
        <v>0</v>
      </c>
      <c r="AB2" s="4">
        <v>23280</v>
      </c>
      <c r="AC2" s="4">
        <v>15522917</v>
      </c>
      <c r="AD2" s="4">
        <v>76093</v>
      </c>
      <c r="AE2" s="1" t="s">
        <v>132</v>
      </c>
      <c r="AF2" s="4">
        <v>0</v>
      </c>
      <c r="AG2" s="4">
        <v>23280</v>
      </c>
      <c r="AH2" s="4">
        <v>0</v>
      </c>
      <c r="AI2" s="4">
        <v>0</v>
      </c>
      <c r="AJ2" s="4">
        <v>15522917</v>
      </c>
      <c r="AK2" s="4">
        <v>0</v>
      </c>
      <c r="AL2" s="4">
        <v>23280</v>
      </c>
      <c r="AM2" s="4">
        <v>15522917</v>
      </c>
      <c r="AN2" s="4">
        <v>76093</v>
      </c>
      <c r="AO2" s="1" t="s">
        <v>132</v>
      </c>
      <c r="AP2" s="4">
        <v>0</v>
      </c>
      <c r="AQ2" s="4">
        <v>23280</v>
      </c>
      <c r="AR2" s="4">
        <v>0</v>
      </c>
      <c r="AS2" s="4">
        <v>0</v>
      </c>
      <c r="AT2" s="4">
        <v>15522917</v>
      </c>
      <c r="AU2" s="4">
        <v>0</v>
      </c>
      <c r="AV2" s="4">
        <v>23280</v>
      </c>
      <c r="AW2" s="4">
        <v>15522917</v>
      </c>
      <c r="AX2" s="4">
        <v>76093</v>
      </c>
      <c r="AY2" s="1" t="s">
        <v>132</v>
      </c>
      <c r="AZ2" s="4">
        <v>0</v>
      </c>
      <c r="BA2" s="4">
        <v>23280</v>
      </c>
      <c r="BB2" s="4">
        <v>0</v>
      </c>
      <c r="BC2" s="4">
        <v>0</v>
      </c>
      <c r="BD2" s="4">
        <v>15522917</v>
      </c>
      <c r="BE2" s="4">
        <v>0</v>
      </c>
      <c r="BF2" s="4">
        <v>23280</v>
      </c>
      <c r="BG2" s="4">
        <v>15522917</v>
      </c>
      <c r="BH2" s="4">
        <v>76093</v>
      </c>
      <c r="BI2" s="1" t="s">
        <v>132</v>
      </c>
      <c r="BJ2" s="4">
        <v>0</v>
      </c>
      <c r="BK2" s="4">
        <v>23280</v>
      </c>
      <c r="BL2" s="4">
        <v>0</v>
      </c>
      <c r="BM2" s="4">
        <v>0</v>
      </c>
      <c r="BN2" s="4">
        <v>15522917</v>
      </c>
      <c r="BO2" s="4">
        <v>0</v>
      </c>
      <c r="BP2" s="4">
        <v>23280</v>
      </c>
      <c r="BQ2" s="4">
        <v>15522917</v>
      </c>
      <c r="BR2" s="4">
        <v>76093</v>
      </c>
      <c r="BS2" s="1" t="s">
        <v>132</v>
      </c>
      <c r="BT2" s="4">
        <v>0</v>
      </c>
      <c r="BU2" s="4">
        <v>23280</v>
      </c>
      <c r="BV2" s="4">
        <v>0</v>
      </c>
      <c r="BW2" s="4">
        <v>0</v>
      </c>
      <c r="BX2" s="4">
        <v>15522917</v>
      </c>
      <c r="BY2" s="4">
        <v>0</v>
      </c>
      <c r="BZ2" s="4">
        <v>23280</v>
      </c>
      <c r="CA2" s="4">
        <v>15522917</v>
      </c>
      <c r="CB2" s="4">
        <v>76093</v>
      </c>
      <c r="CC2" s="1" t="s">
        <v>132</v>
      </c>
      <c r="CD2" s="4">
        <v>0</v>
      </c>
      <c r="CE2" s="4">
        <v>23280</v>
      </c>
      <c r="CF2" s="4">
        <v>0</v>
      </c>
      <c r="CG2" s="4">
        <v>0</v>
      </c>
      <c r="CH2" s="4">
        <v>15522917</v>
      </c>
      <c r="CI2" s="4">
        <v>0</v>
      </c>
      <c r="CJ2" s="4">
        <v>23280</v>
      </c>
      <c r="CK2" s="4">
        <v>15522917</v>
      </c>
      <c r="CL2" s="4">
        <v>76093</v>
      </c>
      <c r="CM2" s="1" t="s">
        <v>132</v>
      </c>
      <c r="CN2" s="4">
        <v>0</v>
      </c>
      <c r="CO2" s="4">
        <v>23280</v>
      </c>
      <c r="CP2" s="4">
        <v>0</v>
      </c>
      <c r="CQ2" s="4">
        <v>0</v>
      </c>
      <c r="CR2" s="4">
        <v>15522917</v>
      </c>
      <c r="CS2" s="4">
        <v>0</v>
      </c>
      <c r="CT2" s="4">
        <v>23280</v>
      </c>
      <c r="CU2" s="4">
        <v>15522917</v>
      </c>
    </row>
    <row x14ac:dyDescent="0.25" r="3" customHeight="1" ht="18">
      <c r="A3" s="1" t="s">
        <v>134</v>
      </c>
      <c r="B3" s="4">
        <v>76093</v>
      </c>
      <c r="C3" s="2" t="s">
        <v>132</v>
      </c>
      <c r="D3" s="4">
        <v>23280</v>
      </c>
      <c r="E3" s="4">
        <v>15522917</v>
      </c>
      <c r="F3" s="4">
        <v>23280</v>
      </c>
      <c r="G3" s="4">
        <v>15522917</v>
      </c>
      <c r="H3" s="4">
        <v>36085</v>
      </c>
      <c r="I3" s="2" t="s">
        <v>135</v>
      </c>
      <c r="J3" s="4">
        <v>11040</v>
      </c>
      <c r="K3" s="4">
        <v>7361383</v>
      </c>
      <c r="L3" s="4">
        <v>11040</v>
      </c>
      <c r="M3" s="4">
        <v>7361383</v>
      </c>
      <c r="N3" s="4">
        <v>0</v>
      </c>
      <c r="O3" s="2" t="s">
        <v>112</v>
      </c>
      <c r="P3" s="4">
        <v>0</v>
      </c>
      <c r="Q3" s="4">
        <v>0</v>
      </c>
      <c r="R3" s="4">
        <v>0</v>
      </c>
      <c r="S3" s="4">
        <v>0</v>
      </c>
      <c r="T3" s="4">
        <v>76093</v>
      </c>
      <c r="U3" s="2" t="s">
        <v>132</v>
      </c>
      <c r="V3" s="4">
        <v>0</v>
      </c>
      <c r="W3" s="4">
        <v>23280</v>
      </c>
      <c r="X3" s="4">
        <v>0</v>
      </c>
      <c r="Y3" s="4">
        <v>0</v>
      </c>
      <c r="Z3" s="4">
        <v>15522917</v>
      </c>
      <c r="AA3" s="4">
        <v>0</v>
      </c>
      <c r="AB3" s="4">
        <v>23280</v>
      </c>
      <c r="AC3" s="4">
        <v>15522917</v>
      </c>
      <c r="AD3" s="4">
        <v>76093</v>
      </c>
      <c r="AE3" s="1" t="s">
        <v>132</v>
      </c>
      <c r="AF3" s="4">
        <v>0</v>
      </c>
      <c r="AG3" s="4">
        <v>23280</v>
      </c>
      <c r="AH3" s="4">
        <v>0</v>
      </c>
      <c r="AI3" s="4">
        <v>0</v>
      </c>
      <c r="AJ3" s="4">
        <v>15522917</v>
      </c>
      <c r="AK3" s="4">
        <v>0</v>
      </c>
      <c r="AL3" s="4">
        <v>23280</v>
      </c>
      <c r="AM3" s="4">
        <v>15522917</v>
      </c>
      <c r="AN3" s="4">
        <v>76093</v>
      </c>
      <c r="AO3" s="1" t="s">
        <v>132</v>
      </c>
      <c r="AP3" s="4">
        <v>0</v>
      </c>
      <c r="AQ3" s="4">
        <v>23280</v>
      </c>
      <c r="AR3" s="4">
        <v>0</v>
      </c>
      <c r="AS3" s="4">
        <v>0</v>
      </c>
      <c r="AT3" s="4">
        <v>15522917</v>
      </c>
      <c r="AU3" s="4">
        <v>0</v>
      </c>
      <c r="AV3" s="4">
        <v>23280</v>
      </c>
      <c r="AW3" s="4">
        <v>15522917</v>
      </c>
      <c r="AX3" s="4">
        <v>76093</v>
      </c>
      <c r="AY3" s="1" t="s">
        <v>132</v>
      </c>
      <c r="AZ3" s="4">
        <v>0</v>
      </c>
      <c r="BA3" s="4">
        <v>23280</v>
      </c>
      <c r="BB3" s="4">
        <v>0</v>
      </c>
      <c r="BC3" s="4">
        <v>0</v>
      </c>
      <c r="BD3" s="4">
        <v>15522917</v>
      </c>
      <c r="BE3" s="4">
        <v>0</v>
      </c>
      <c r="BF3" s="4">
        <v>23280</v>
      </c>
      <c r="BG3" s="4">
        <v>15522917</v>
      </c>
      <c r="BH3" s="4">
        <v>76093</v>
      </c>
      <c r="BI3" s="1" t="s">
        <v>132</v>
      </c>
      <c r="BJ3" s="4">
        <v>0</v>
      </c>
      <c r="BK3" s="4">
        <v>23280</v>
      </c>
      <c r="BL3" s="4">
        <v>0</v>
      </c>
      <c r="BM3" s="4">
        <v>0</v>
      </c>
      <c r="BN3" s="4">
        <v>15522917</v>
      </c>
      <c r="BO3" s="4">
        <v>0</v>
      </c>
      <c r="BP3" s="4">
        <v>23280</v>
      </c>
      <c r="BQ3" s="4">
        <v>15522917</v>
      </c>
      <c r="BR3" s="4">
        <v>76093</v>
      </c>
      <c r="BS3" s="1" t="s">
        <v>132</v>
      </c>
      <c r="BT3" s="4">
        <v>0</v>
      </c>
      <c r="BU3" s="4">
        <v>23280</v>
      </c>
      <c r="BV3" s="4">
        <v>0</v>
      </c>
      <c r="BW3" s="4">
        <v>0</v>
      </c>
      <c r="BX3" s="4">
        <v>15522917</v>
      </c>
      <c r="BY3" s="4">
        <v>0</v>
      </c>
      <c r="BZ3" s="4">
        <v>23280</v>
      </c>
      <c r="CA3" s="4">
        <v>15522917</v>
      </c>
      <c r="CB3" s="4">
        <v>76093</v>
      </c>
      <c r="CC3" s="1" t="s">
        <v>132</v>
      </c>
      <c r="CD3" s="4">
        <v>0</v>
      </c>
      <c r="CE3" s="4">
        <v>23280</v>
      </c>
      <c r="CF3" s="4">
        <v>0</v>
      </c>
      <c r="CG3" s="4">
        <v>0</v>
      </c>
      <c r="CH3" s="4">
        <v>15522917</v>
      </c>
      <c r="CI3" s="4">
        <v>0</v>
      </c>
      <c r="CJ3" s="4">
        <v>23280</v>
      </c>
      <c r="CK3" s="4">
        <v>15522917</v>
      </c>
      <c r="CL3" s="4">
        <v>76093</v>
      </c>
      <c r="CM3" s="1" t="s">
        <v>132</v>
      </c>
      <c r="CN3" s="4">
        <v>0</v>
      </c>
      <c r="CO3" s="4">
        <v>23280</v>
      </c>
      <c r="CP3" s="4">
        <v>0</v>
      </c>
      <c r="CQ3" s="4">
        <v>0</v>
      </c>
      <c r="CR3" s="4">
        <v>15522917</v>
      </c>
      <c r="CS3" s="4">
        <v>0</v>
      </c>
      <c r="CT3" s="4">
        <v>23280</v>
      </c>
      <c r="CU3" s="4">
        <v>15522917</v>
      </c>
    </row>
    <row x14ac:dyDescent="0.25" r="4" customHeight="1" ht="18">
      <c r="A4" s="1" t="s">
        <v>136</v>
      </c>
      <c r="B4" s="4">
        <v>22749</v>
      </c>
      <c r="C4" s="2" t="s">
        <v>137</v>
      </c>
      <c r="D4" s="4">
        <v>6960</v>
      </c>
      <c r="E4" s="4">
        <v>4640872</v>
      </c>
      <c r="F4" s="4">
        <v>6960</v>
      </c>
      <c r="G4" s="4">
        <v>4640872</v>
      </c>
      <c r="H4" s="4">
        <v>0</v>
      </c>
      <c r="I4" s="2" t="s">
        <v>112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2" t="s">
        <v>112</v>
      </c>
      <c r="P4" s="4">
        <v>0</v>
      </c>
      <c r="Q4" s="4">
        <v>0</v>
      </c>
      <c r="R4" s="4">
        <v>0</v>
      </c>
      <c r="S4" s="4">
        <v>0</v>
      </c>
      <c r="T4" s="4">
        <v>76093</v>
      </c>
      <c r="U4" s="2" t="s">
        <v>132</v>
      </c>
      <c r="V4" s="4">
        <v>0</v>
      </c>
      <c r="W4" s="4">
        <v>23280</v>
      </c>
      <c r="X4" s="4">
        <v>0</v>
      </c>
      <c r="Y4" s="4">
        <v>0</v>
      </c>
      <c r="Z4" s="4">
        <v>15522917</v>
      </c>
      <c r="AA4" s="4">
        <v>0</v>
      </c>
      <c r="AB4" s="4">
        <v>23280</v>
      </c>
      <c r="AC4" s="4">
        <v>15522917</v>
      </c>
      <c r="AD4" s="4">
        <v>76093</v>
      </c>
      <c r="AE4" s="1" t="s">
        <v>132</v>
      </c>
      <c r="AF4" s="4">
        <v>0</v>
      </c>
      <c r="AG4" s="4">
        <v>23280</v>
      </c>
      <c r="AH4" s="4">
        <v>0</v>
      </c>
      <c r="AI4" s="4">
        <v>0</v>
      </c>
      <c r="AJ4" s="4">
        <v>15522917</v>
      </c>
      <c r="AK4" s="4">
        <v>0</v>
      </c>
      <c r="AL4" s="4">
        <v>23280</v>
      </c>
      <c r="AM4" s="4">
        <v>15522917</v>
      </c>
      <c r="AN4" s="4">
        <v>76093</v>
      </c>
      <c r="AO4" s="1" t="s">
        <v>132</v>
      </c>
      <c r="AP4" s="4">
        <v>0</v>
      </c>
      <c r="AQ4" s="4">
        <v>23280</v>
      </c>
      <c r="AR4" s="4">
        <v>0</v>
      </c>
      <c r="AS4" s="4">
        <v>0</v>
      </c>
      <c r="AT4" s="4">
        <v>15522917</v>
      </c>
      <c r="AU4" s="4">
        <v>0</v>
      </c>
      <c r="AV4" s="4">
        <v>23280</v>
      </c>
      <c r="AW4" s="4">
        <v>15522917</v>
      </c>
      <c r="AX4" s="4">
        <v>76093</v>
      </c>
      <c r="AY4" s="1" t="s">
        <v>132</v>
      </c>
      <c r="AZ4" s="4">
        <v>0</v>
      </c>
      <c r="BA4" s="4">
        <v>23280</v>
      </c>
      <c r="BB4" s="4">
        <v>0</v>
      </c>
      <c r="BC4" s="4">
        <v>0</v>
      </c>
      <c r="BD4" s="4">
        <v>15522917</v>
      </c>
      <c r="BE4" s="4">
        <v>0</v>
      </c>
      <c r="BF4" s="4">
        <v>23280</v>
      </c>
      <c r="BG4" s="4">
        <v>15522917</v>
      </c>
      <c r="BH4" s="4">
        <v>76093</v>
      </c>
      <c r="BI4" s="1" t="s">
        <v>132</v>
      </c>
      <c r="BJ4" s="4">
        <v>0</v>
      </c>
      <c r="BK4" s="4">
        <v>23280</v>
      </c>
      <c r="BL4" s="4">
        <v>0</v>
      </c>
      <c r="BM4" s="4">
        <v>0</v>
      </c>
      <c r="BN4" s="4">
        <v>15522917</v>
      </c>
      <c r="BO4" s="4">
        <v>0</v>
      </c>
      <c r="BP4" s="4">
        <v>23280</v>
      </c>
      <c r="BQ4" s="4">
        <v>15522917</v>
      </c>
      <c r="BR4" s="4">
        <v>76093</v>
      </c>
      <c r="BS4" s="1" t="s">
        <v>132</v>
      </c>
      <c r="BT4" s="4">
        <v>0</v>
      </c>
      <c r="BU4" s="4">
        <v>23280</v>
      </c>
      <c r="BV4" s="4">
        <v>0</v>
      </c>
      <c r="BW4" s="4">
        <v>0</v>
      </c>
      <c r="BX4" s="4">
        <v>15522917</v>
      </c>
      <c r="BY4" s="4">
        <v>0</v>
      </c>
      <c r="BZ4" s="4">
        <v>23280</v>
      </c>
      <c r="CA4" s="4">
        <v>15522917</v>
      </c>
      <c r="CB4" s="4">
        <v>76093</v>
      </c>
      <c r="CC4" s="1" t="s">
        <v>132</v>
      </c>
      <c r="CD4" s="4">
        <v>0</v>
      </c>
      <c r="CE4" s="4">
        <v>23280</v>
      </c>
      <c r="CF4" s="4">
        <v>0</v>
      </c>
      <c r="CG4" s="4">
        <v>0</v>
      </c>
      <c r="CH4" s="4">
        <v>15522917</v>
      </c>
      <c r="CI4" s="4">
        <v>0</v>
      </c>
      <c r="CJ4" s="4">
        <v>23280</v>
      </c>
      <c r="CK4" s="4">
        <v>15522917</v>
      </c>
      <c r="CL4" s="4">
        <v>76093</v>
      </c>
      <c r="CM4" s="1" t="s">
        <v>132</v>
      </c>
      <c r="CN4" s="4">
        <v>0</v>
      </c>
      <c r="CO4" s="4">
        <v>23280</v>
      </c>
      <c r="CP4" s="4">
        <v>0</v>
      </c>
      <c r="CQ4" s="4">
        <v>0</v>
      </c>
      <c r="CR4" s="4">
        <v>15522917</v>
      </c>
      <c r="CS4" s="4">
        <v>0</v>
      </c>
      <c r="CT4" s="4">
        <v>23280</v>
      </c>
      <c r="CU4" s="4">
        <v>15522917</v>
      </c>
    </row>
    <row x14ac:dyDescent="0.25" r="5" customHeight="1" ht="18">
      <c r="A5" s="1" t="s">
        <v>138</v>
      </c>
      <c r="B5" s="4">
        <v>0</v>
      </c>
      <c r="C5" s="2" t="s">
        <v>112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2" t="s">
        <v>112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2" t="s">
        <v>112</v>
      </c>
      <c r="P5" s="4">
        <v>0</v>
      </c>
      <c r="Q5" s="4">
        <v>0</v>
      </c>
      <c r="R5" s="4">
        <v>0</v>
      </c>
      <c r="S5" s="4">
        <v>0</v>
      </c>
      <c r="T5" s="4">
        <v>76093</v>
      </c>
      <c r="U5" s="2" t="s">
        <v>132</v>
      </c>
      <c r="V5" s="4">
        <v>0</v>
      </c>
      <c r="W5" s="4">
        <v>23280</v>
      </c>
      <c r="X5" s="4">
        <v>0</v>
      </c>
      <c r="Y5" s="4">
        <v>0</v>
      </c>
      <c r="Z5" s="4">
        <v>15522917</v>
      </c>
      <c r="AA5" s="4">
        <v>0</v>
      </c>
      <c r="AB5" s="4">
        <v>23280</v>
      </c>
      <c r="AC5" s="4">
        <v>15522917</v>
      </c>
      <c r="AD5" s="4">
        <v>76093</v>
      </c>
      <c r="AE5" s="1" t="s">
        <v>132</v>
      </c>
      <c r="AF5" s="4">
        <v>0</v>
      </c>
      <c r="AG5" s="4">
        <v>23280</v>
      </c>
      <c r="AH5" s="4">
        <v>0</v>
      </c>
      <c r="AI5" s="4">
        <v>0</v>
      </c>
      <c r="AJ5" s="4">
        <v>15522917</v>
      </c>
      <c r="AK5" s="4">
        <v>0</v>
      </c>
      <c r="AL5" s="4">
        <v>23280</v>
      </c>
      <c r="AM5" s="4">
        <v>15522917</v>
      </c>
      <c r="AN5" s="4">
        <v>76093</v>
      </c>
      <c r="AO5" s="1" t="s">
        <v>132</v>
      </c>
      <c r="AP5" s="4">
        <v>0</v>
      </c>
      <c r="AQ5" s="4">
        <v>23280</v>
      </c>
      <c r="AR5" s="4">
        <v>0</v>
      </c>
      <c r="AS5" s="4">
        <v>0</v>
      </c>
      <c r="AT5" s="4">
        <v>15522917</v>
      </c>
      <c r="AU5" s="4">
        <v>0</v>
      </c>
      <c r="AV5" s="4">
        <v>23280</v>
      </c>
      <c r="AW5" s="4">
        <v>15522917</v>
      </c>
      <c r="AX5" s="4">
        <v>76093</v>
      </c>
      <c r="AY5" s="1" t="s">
        <v>132</v>
      </c>
      <c r="AZ5" s="4">
        <v>0</v>
      </c>
      <c r="BA5" s="4">
        <v>23280</v>
      </c>
      <c r="BB5" s="4">
        <v>0</v>
      </c>
      <c r="BC5" s="4">
        <v>0</v>
      </c>
      <c r="BD5" s="4">
        <v>15522917</v>
      </c>
      <c r="BE5" s="4">
        <v>0</v>
      </c>
      <c r="BF5" s="4">
        <v>23280</v>
      </c>
      <c r="BG5" s="4">
        <v>15522917</v>
      </c>
      <c r="BH5" s="4">
        <v>76093</v>
      </c>
      <c r="BI5" s="1" t="s">
        <v>132</v>
      </c>
      <c r="BJ5" s="4">
        <v>0</v>
      </c>
      <c r="BK5" s="4">
        <v>23280</v>
      </c>
      <c r="BL5" s="4">
        <v>0</v>
      </c>
      <c r="BM5" s="4">
        <v>0</v>
      </c>
      <c r="BN5" s="4">
        <v>15522917</v>
      </c>
      <c r="BO5" s="4">
        <v>0</v>
      </c>
      <c r="BP5" s="4">
        <v>23280</v>
      </c>
      <c r="BQ5" s="4">
        <v>15522917</v>
      </c>
      <c r="BR5" s="4">
        <v>76093</v>
      </c>
      <c r="BS5" s="1" t="s">
        <v>132</v>
      </c>
      <c r="BT5" s="4">
        <v>0</v>
      </c>
      <c r="BU5" s="4">
        <v>23280</v>
      </c>
      <c r="BV5" s="4">
        <v>0</v>
      </c>
      <c r="BW5" s="4">
        <v>0</v>
      </c>
      <c r="BX5" s="4">
        <v>15522917</v>
      </c>
      <c r="BY5" s="4">
        <v>0</v>
      </c>
      <c r="BZ5" s="4">
        <v>23280</v>
      </c>
      <c r="CA5" s="4">
        <v>15522917</v>
      </c>
      <c r="CB5" s="4">
        <v>76093</v>
      </c>
      <c r="CC5" s="1" t="s">
        <v>132</v>
      </c>
      <c r="CD5" s="4">
        <v>0</v>
      </c>
      <c r="CE5" s="4">
        <v>23280</v>
      </c>
      <c r="CF5" s="4">
        <v>0</v>
      </c>
      <c r="CG5" s="4">
        <v>0</v>
      </c>
      <c r="CH5" s="4">
        <v>15522917</v>
      </c>
      <c r="CI5" s="4">
        <v>0</v>
      </c>
      <c r="CJ5" s="4">
        <v>23280</v>
      </c>
      <c r="CK5" s="4">
        <v>15522917</v>
      </c>
      <c r="CL5" s="4">
        <v>76093</v>
      </c>
      <c r="CM5" s="1" t="s">
        <v>132</v>
      </c>
      <c r="CN5" s="4">
        <v>0</v>
      </c>
      <c r="CO5" s="4">
        <v>23280</v>
      </c>
      <c r="CP5" s="4">
        <v>0</v>
      </c>
      <c r="CQ5" s="4">
        <v>0</v>
      </c>
      <c r="CR5" s="4">
        <v>15522917</v>
      </c>
      <c r="CS5" s="4">
        <v>0</v>
      </c>
      <c r="CT5" s="4">
        <v>23280</v>
      </c>
      <c r="CU5" s="4">
        <v>15522917</v>
      </c>
    </row>
    <row x14ac:dyDescent="0.25" r="6" customHeight="1" ht="18">
      <c r="A6" s="1" t="s">
        <v>139</v>
      </c>
      <c r="B6" s="4">
        <v>0</v>
      </c>
      <c r="C6" s="2" t="s">
        <v>112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2" t="s">
        <v>112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2" t="s">
        <v>112</v>
      </c>
      <c r="P6" s="4">
        <v>0</v>
      </c>
      <c r="Q6" s="4">
        <v>0</v>
      </c>
      <c r="R6" s="4">
        <v>0</v>
      </c>
      <c r="S6" s="4">
        <v>0</v>
      </c>
      <c r="T6" s="4">
        <v>76093</v>
      </c>
      <c r="U6" s="2" t="s">
        <v>132</v>
      </c>
      <c r="V6" s="4">
        <v>0</v>
      </c>
      <c r="W6" s="4">
        <v>23280</v>
      </c>
      <c r="X6" s="4">
        <v>0</v>
      </c>
      <c r="Y6" s="4">
        <v>0</v>
      </c>
      <c r="Z6" s="4">
        <v>15522917</v>
      </c>
      <c r="AA6" s="4">
        <v>0</v>
      </c>
      <c r="AB6" s="4">
        <v>23280</v>
      </c>
      <c r="AC6" s="4">
        <v>15522917</v>
      </c>
      <c r="AD6" s="4">
        <v>76093</v>
      </c>
      <c r="AE6" s="1" t="s">
        <v>132</v>
      </c>
      <c r="AF6" s="4">
        <v>0</v>
      </c>
      <c r="AG6" s="4">
        <v>23280</v>
      </c>
      <c r="AH6" s="4">
        <v>0</v>
      </c>
      <c r="AI6" s="4">
        <v>0</v>
      </c>
      <c r="AJ6" s="4">
        <v>15522917</v>
      </c>
      <c r="AK6" s="4">
        <v>0</v>
      </c>
      <c r="AL6" s="4">
        <v>23280</v>
      </c>
      <c r="AM6" s="4">
        <v>15522917</v>
      </c>
      <c r="AN6" s="4">
        <v>76093</v>
      </c>
      <c r="AO6" s="1" t="s">
        <v>132</v>
      </c>
      <c r="AP6" s="4">
        <v>0</v>
      </c>
      <c r="AQ6" s="4">
        <v>23280</v>
      </c>
      <c r="AR6" s="4">
        <v>0</v>
      </c>
      <c r="AS6" s="4">
        <v>0</v>
      </c>
      <c r="AT6" s="4">
        <v>15522917</v>
      </c>
      <c r="AU6" s="4">
        <v>0</v>
      </c>
      <c r="AV6" s="4">
        <v>23280</v>
      </c>
      <c r="AW6" s="4">
        <v>15522917</v>
      </c>
      <c r="AX6" s="4">
        <v>76093</v>
      </c>
      <c r="AY6" s="1" t="s">
        <v>132</v>
      </c>
      <c r="AZ6" s="4">
        <v>0</v>
      </c>
      <c r="BA6" s="4">
        <v>23280</v>
      </c>
      <c r="BB6" s="4">
        <v>0</v>
      </c>
      <c r="BC6" s="4">
        <v>0</v>
      </c>
      <c r="BD6" s="4">
        <v>15522917</v>
      </c>
      <c r="BE6" s="4">
        <v>0</v>
      </c>
      <c r="BF6" s="4">
        <v>23280</v>
      </c>
      <c r="BG6" s="4">
        <v>15522917</v>
      </c>
      <c r="BH6" s="4">
        <v>76093</v>
      </c>
      <c r="BI6" s="1" t="s">
        <v>132</v>
      </c>
      <c r="BJ6" s="4">
        <v>0</v>
      </c>
      <c r="BK6" s="4">
        <v>23280</v>
      </c>
      <c r="BL6" s="4">
        <v>0</v>
      </c>
      <c r="BM6" s="4">
        <v>0</v>
      </c>
      <c r="BN6" s="4">
        <v>15522917</v>
      </c>
      <c r="BO6" s="4">
        <v>0</v>
      </c>
      <c r="BP6" s="4">
        <v>23280</v>
      </c>
      <c r="BQ6" s="4">
        <v>15522917</v>
      </c>
      <c r="BR6" s="4">
        <v>76093</v>
      </c>
      <c r="BS6" s="1" t="s">
        <v>132</v>
      </c>
      <c r="BT6" s="4">
        <v>0</v>
      </c>
      <c r="BU6" s="4">
        <v>23280</v>
      </c>
      <c r="BV6" s="4">
        <v>0</v>
      </c>
      <c r="BW6" s="4">
        <v>0</v>
      </c>
      <c r="BX6" s="4">
        <v>15522917</v>
      </c>
      <c r="BY6" s="4">
        <v>0</v>
      </c>
      <c r="BZ6" s="4">
        <v>23280</v>
      </c>
      <c r="CA6" s="4">
        <v>15522917</v>
      </c>
      <c r="CB6" s="4">
        <v>76093</v>
      </c>
      <c r="CC6" s="1" t="s">
        <v>132</v>
      </c>
      <c r="CD6" s="4">
        <v>0</v>
      </c>
      <c r="CE6" s="4">
        <v>23280</v>
      </c>
      <c r="CF6" s="4">
        <v>0</v>
      </c>
      <c r="CG6" s="4">
        <v>0</v>
      </c>
      <c r="CH6" s="4">
        <v>15522917</v>
      </c>
      <c r="CI6" s="4">
        <v>0</v>
      </c>
      <c r="CJ6" s="4">
        <v>23280</v>
      </c>
      <c r="CK6" s="4">
        <v>15522917</v>
      </c>
      <c r="CL6" s="4">
        <v>76093</v>
      </c>
      <c r="CM6" s="1" t="s">
        <v>132</v>
      </c>
      <c r="CN6" s="4">
        <v>0</v>
      </c>
      <c r="CO6" s="4">
        <v>23280</v>
      </c>
      <c r="CP6" s="4">
        <v>0</v>
      </c>
      <c r="CQ6" s="4">
        <v>0</v>
      </c>
      <c r="CR6" s="4">
        <v>15522917</v>
      </c>
      <c r="CS6" s="4">
        <v>0</v>
      </c>
      <c r="CT6" s="4">
        <v>23280</v>
      </c>
      <c r="CU6" s="4">
        <v>15522917</v>
      </c>
    </row>
    <row x14ac:dyDescent="0.25" r="7" customHeight="1" ht="18">
      <c r="A7" s="1" t="s">
        <v>140</v>
      </c>
      <c r="B7" s="4">
        <v>0</v>
      </c>
      <c r="C7" s="2" t="s">
        <v>112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2" t="s">
        <v>112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2" t="s">
        <v>112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 t="s">
        <v>112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1" t="s">
        <v>112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1" t="s">
        <v>112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1" t="s">
        <v>112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1" t="s">
        <v>112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1" t="s">
        <v>112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1" t="s">
        <v>112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1" t="s">
        <v>112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</row>
    <row x14ac:dyDescent="0.25" r="8" customHeight="1" ht="18">
      <c r="A8" s="1" t="s">
        <v>141</v>
      </c>
      <c r="B8" s="4">
        <v>0</v>
      </c>
      <c r="C8" s="2" t="s">
        <v>112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2" t="s">
        <v>112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 t="s">
        <v>112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112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1" t="s">
        <v>112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1" t="s">
        <v>112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1" t="s">
        <v>112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1" t="s">
        <v>112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1" t="s">
        <v>112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1" t="s">
        <v>112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1" t="s">
        <v>112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</row>
    <row x14ac:dyDescent="0.25" r="9" customHeight="1" ht="18">
      <c r="A9" s="1" t="s">
        <v>142</v>
      </c>
      <c r="B9" s="4">
        <v>0</v>
      </c>
      <c r="C9" s="2" t="s">
        <v>112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2" t="s">
        <v>112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 t="s">
        <v>112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112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1" t="s">
        <v>112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1" t="s">
        <v>112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1" t="s">
        <v>112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1" t="s">
        <v>112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1" t="s">
        <v>112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1" t="s">
        <v>112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1" t="s">
        <v>112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</row>
    <row x14ac:dyDescent="0.25" r="10" customHeight="1" ht="18">
      <c r="A10" s="1" t="s">
        <v>143</v>
      </c>
      <c r="B10" s="4">
        <v>0</v>
      </c>
      <c r="C10" s="2" t="s">
        <v>112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2" t="s">
        <v>112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2" t="s">
        <v>112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2" t="s">
        <v>112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1" t="s">
        <v>112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1" t="s">
        <v>112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1" t="s">
        <v>112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1" t="s">
        <v>112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1" t="s">
        <v>112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1" t="s">
        <v>112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1" t="s">
        <v>112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</row>
    <row x14ac:dyDescent="0.25" r="11" customHeight="1" ht="18">
      <c r="A11" s="1" t="s">
        <v>144</v>
      </c>
      <c r="B11" s="4">
        <v>0</v>
      </c>
      <c r="C11" s="2" t="s">
        <v>112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2" t="s">
        <v>112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 t="s">
        <v>112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2" t="s">
        <v>112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1" t="s">
        <v>112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1" t="s">
        <v>112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1" t="s">
        <v>112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1" t="s">
        <v>112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1" t="s">
        <v>112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1" t="s">
        <v>112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1" t="s">
        <v>112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</row>
    <row x14ac:dyDescent="0.25" r="12" customHeight="1" ht="18">
      <c r="A12" s="1" t="s">
        <v>145</v>
      </c>
      <c r="B12" s="4">
        <v>0</v>
      </c>
      <c r="C12" s="2" t="s">
        <v>112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2" t="s">
        <v>112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2" t="s">
        <v>112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2" t="s">
        <v>112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1" t="s">
        <v>112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1" t="s">
        <v>112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1" t="s">
        <v>112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1" t="s">
        <v>112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1" t="s">
        <v>112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1" t="s">
        <v>112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1" t="s">
        <v>112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</row>
    <row x14ac:dyDescent="0.25" r="13" customHeight="1" ht="18">
      <c r="A13" s="1" t="s">
        <v>146</v>
      </c>
      <c r="B13" s="4">
        <v>0</v>
      </c>
      <c r="C13" s="2" t="s">
        <v>112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2" t="s">
        <v>112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2" t="s">
        <v>112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2" t="s">
        <v>112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1" t="s">
        <v>112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1" t="s">
        <v>112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1" t="s">
        <v>112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1" t="s">
        <v>112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1" t="s">
        <v>112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1" t="s">
        <v>112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1" t="s">
        <v>112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</row>
    <row x14ac:dyDescent="0.25" r="14" customHeight="1" ht="18">
      <c r="A14" s="1" t="s">
        <v>147</v>
      </c>
      <c r="B14" s="4">
        <v>0</v>
      </c>
      <c r="C14" s="2" t="s">
        <v>112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2" t="s">
        <v>112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2" t="s">
        <v>112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2" t="s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1" t="s">
        <v>112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1" t="s">
        <v>112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1" t="s">
        <v>112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1" t="s">
        <v>112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1" t="s">
        <v>112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1" t="s">
        <v>112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1" t="s">
        <v>112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</row>
    <row x14ac:dyDescent="0.25" r="15" customHeight="1" ht="18">
      <c r="A15" s="1" t="s">
        <v>148</v>
      </c>
      <c r="B15" s="4">
        <v>0</v>
      </c>
      <c r="C15" s="2" t="s">
        <v>112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2" t="s">
        <v>112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2" t="s">
        <v>112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2" t="s">
        <v>112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1" t="s">
        <v>112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1" t="s">
        <v>112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1" t="s">
        <v>112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1" t="s">
        <v>112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1" t="s">
        <v>112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1" t="s">
        <v>112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1" t="s">
        <v>112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</row>
    <row x14ac:dyDescent="0.25" r="16" customHeight="1" ht="18">
      <c r="A16" s="1" t="s">
        <v>149</v>
      </c>
      <c r="B16" s="4">
        <v>0</v>
      </c>
      <c r="C16" s="2" t="s">
        <v>112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2" t="s">
        <v>112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2" t="s">
        <v>112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2" t="s">
        <v>112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1" t="s">
        <v>112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1" t="s">
        <v>112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1" t="s">
        <v>112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1" t="s">
        <v>112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1" t="s">
        <v>112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1" t="s">
        <v>112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1" t="s">
        <v>112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</row>
    <row x14ac:dyDescent="0.25" r="17" customHeight="1" ht="18">
      <c r="A17" s="1" t="s">
        <v>150</v>
      </c>
      <c r="B17" s="4">
        <v>0</v>
      </c>
      <c r="C17" s="2" t="s">
        <v>112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2" t="s">
        <v>112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2" t="s">
        <v>112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2" t="s">
        <v>112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1" t="s">
        <v>112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1" t="s">
        <v>112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1" t="s">
        <v>112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1" t="s">
        <v>112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1" t="s">
        <v>112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1" t="s">
        <v>112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1" t="s">
        <v>112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</row>
    <row x14ac:dyDescent="0.25" r="18" customHeight="1" ht="18">
      <c r="A18" s="1" t="s">
        <v>151</v>
      </c>
      <c r="B18" s="4">
        <v>0</v>
      </c>
      <c r="C18" s="2" t="s">
        <v>112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2" t="s">
        <v>112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2" t="s">
        <v>112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112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1" t="s">
        <v>112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1" t="s">
        <v>112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1" t="s">
        <v>112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1" t="s">
        <v>112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1" t="s">
        <v>112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1" t="s">
        <v>112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1" t="s">
        <v>112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</row>
    <row x14ac:dyDescent="0.25" r="19" customHeight="1" ht="18">
      <c r="A19" s="1" t="s">
        <v>152</v>
      </c>
      <c r="B19" s="4">
        <v>0</v>
      </c>
      <c r="C19" s="2" t="s">
        <v>112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2" t="s">
        <v>112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2" t="s">
        <v>112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2" t="s">
        <v>112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1" t="s">
        <v>112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1" t="s">
        <v>112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1" t="s">
        <v>112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1" t="s">
        <v>112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1" t="s">
        <v>112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1" t="s">
        <v>112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1" t="s">
        <v>112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</row>
    <row x14ac:dyDescent="0.25" r="20" customHeight="1" ht="18">
      <c r="A20" s="1" t="s">
        <v>153</v>
      </c>
      <c r="B20" s="4">
        <v>0</v>
      </c>
      <c r="C20" s="2" t="s">
        <v>112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2" t="s">
        <v>112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2" t="s">
        <v>112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2" t="s">
        <v>112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1" t="s">
        <v>112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1" t="s">
        <v>112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1" t="s">
        <v>112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1" t="s">
        <v>112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1" t="s">
        <v>112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1" t="s">
        <v>112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1" t="s">
        <v>112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</row>
    <row x14ac:dyDescent="0.25" r="21" customHeight="1" ht="18">
      <c r="A21" s="1" t="s">
        <v>154</v>
      </c>
      <c r="B21" s="4">
        <v>0</v>
      </c>
      <c r="C21" s="2" t="s">
        <v>112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2" t="s">
        <v>112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2" t="s">
        <v>112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2" t="s">
        <v>112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1" t="s">
        <v>112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1" t="s">
        <v>112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1" t="s">
        <v>112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1" t="s">
        <v>112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1" t="s">
        <v>112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1" t="s">
        <v>112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1" t="s">
        <v>112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</row>
    <row x14ac:dyDescent="0.25" r="22" customHeight="1" ht="18">
      <c r="A22" s="1" t="s">
        <v>155</v>
      </c>
      <c r="B22" s="4">
        <v>0</v>
      </c>
      <c r="C22" s="2" t="s">
        <v>112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2" t="s">
        <v>112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2" t="s">
        <v>112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112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1" t="s">
        <v>112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1" t="s">
        <v>112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1" t="s">
        <v>112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1" t="s">
        <v>112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1" t="s">
        <v>112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1" t="s">
        <v>112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1" t="s">
        <v>112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</row>
    <row x14ac:dyDescent="0.25" r="23" customHeight="1" ht="18">
      <c r="A23" s="1" t="s">
        <v>156</v>
      </c>
      <c r="B23" s="4">
        <v>0</v>
      </c>
      <c r="C23" s="2" t="s">
        <v>112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2" t="s">
        <v>112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2" t="s">
        <v>112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112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1" t="s">
        <v>112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1" t="s">
        <v>112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1" t="s">
        <v>112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1" t="s">
        <v>112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1" t="s">
        <v>112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1" t="s">
        <v>112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1" t="s">
        <v>112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</row>
    <row x14ac:dyDescent="0.25" r="24" customHeight="1" ht="18">
      <c r="A24" s="1" t="s">
        <v>157</v>
      </c>
      <c r="B24" s="4">
        <v>0</v>
      </c>
      <c r="C24" s="2" t="s">
        <v>112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2" t="s">
        <v>112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2" t="s">
        <v>112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112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1" t="s">
        <v>112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1" t="s">
        <v>112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1" t="s">
        <v>112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1" t="s">
        <v>112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1" t="s">
        <v>112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1" t="s">
        <v>112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1" t="s">
        <v>112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</row>
    <row x14ac:dyDescent="0.25" r="25" customHeight="1" ht="18">
      <c r="A25" s="1" t="s">
        <v>158</v>
      </c>
      <c r="B25" s="4">
        <v>0</v>
      </c>
      <c r="C25" s="2" t="s">
        <v>112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2" t="s">
        <v>112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2" t="s">
        <v>112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 t="s">
        <v>112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1" t="s">
        <v>112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1" t="s">
        <v>112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1" t="s">
        <v>112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1" t="s">
        <v>112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1" t="s">
        <v>112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1" t="s">
        <v>112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1" t="s">
        <v>112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</row>
    <row x14ac:dyDescent="0.25" r="26" customHeight="1" ht="18">
      <c r="A26" s="1" t="s">
        <v>159</v>
      </c>
      <c r="B26" s="4">
        <v>0</v>
      </c>
      <c r="C26" s="2" t="s">
        <v>112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2" t="s">
        <v>112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2" t="s">
        <v>112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2" t="s">
        <v>112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1" t="s">
        <v>112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1" t="s">
        <v>112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1" t="s">
        <v>112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1" t="s">
        <v>112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1" t="s">
        <v>112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1" t="s">
        <v>112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1" t="s">
        <v>112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</row>
    <row x14ac:dyDescent="0.25" r="27" customHeight="1" ht="18">
      <c r="A27" s="1" t="s">
        <v>160</v>
      </c>
      <c r="B27" s="4">
        <v>0</v>
      </c>
      <c r="C27" s="2" t="s">
        <v>112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2" t="s">
        <v>112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2" t="s">
        <v>112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2" t="s">
        <v>112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1" t="s">
        <v>112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1" t="s">
        <v>112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1" t="s">
        <v>112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1" t="s">
        <v>112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1" t="s">
        <v>112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1" t="s">
        <v>112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1" t="s">
        <v>112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</row>
    <row x14ac:dyDescent="0.25" r="28" customHeight="1" ht="18">
      <c r="A28" s="1" t="s">
        <v>161</v>
      </c>
      <c r="B28" s="4">
        <v>0</v>
      </c>
      <c r="C28" s="2" t="s">
        <v>112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2" t="s">
        <v>112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2" t="s">
        <v>112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2" t="s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1" t="s">
        <v>112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1" t="s">
        <v>112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1" t="s">
        <v>112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1" t="s">
        <v>112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1" t="s">
        <v>112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1" t="s">
        <v>112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1" t="s">
        <v>112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</row>
    <row x14ac:dyDescent="0.25" r="29" customHeight="1" ht="18">
      <c r="A29" s="1" t="s">
        <v>162</v>
      </c>
      <c r="B29" s="4">
        <v>0</v>
      </c>
      <c r="C29" s="2" t="s">
        <v>112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2" t="s">
        <v>112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2" t="s">
        <v>112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2" t="s">
        <v>112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1" t="s">
        <v>112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1" t="s">
        <v>112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1" t="s">
        <v>112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1" t="s">
        <v>112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1" t="s">
        <v>112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1" t="s">
        <v>112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1" t="s">
        <v>112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</row>
    <row x14ac:dyDescent="0.25" r="30" customHeight="1" ht="18">
      <c r="A30" s="1" t="s">
        <v>163</v>
      </c>
      <c r="B30" s="4">
        <v>0</v>
      </c>
      <c r="C30" s="2" t="s">
        <v>112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2" t="s">
        <v>112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2" t="s">
        <v>112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2" t="s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1" t="s">
        <v>112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1" t="s">
        <v>112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1" t="s">
        <v>112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1" t="s">
        <v>112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1" t="s">
        <v>112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1" t="s">
        <v>112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1" t="s">
        <v>112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</row>
    <row x14ac:dyDescent="0.25" r="31" customHeight="1" ht="18">
      <c r="A31" s="1" t="s">
        <v>164</v>
      </c>
      <c r="B31" s="4">
        <v>0</v>
      </c>
      <c r="C31" s="2" t="s">
        <v>112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2" t="s">
        <v>112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2" t="s">
        <v>112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2" t="s">
        <v>112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1" t="s">
        <v>112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1" t="s">
        <v>112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1" t="s">
        <v>112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1" t="s">
        <v>112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1" t="s">
        <v>112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1" t="s">
        <v>112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1" t="s">
        <v>112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</row>
    <row x14ac:dyDescent="0.25" r="32" customHeight="1" ht="18">
      <c r="A32" s="1" t="s">
        <v>165</v>
      </c>
      <c r="B32" s="4">
        <v>0</v>
      </c>
      <c r="C32" s="2" t="s">
        <v>112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2" t="s">
        <v>112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2" t="s">
        <v>112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2" t="s">
        <v>112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1" t="s">
        <v>112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1" t="s">
        <v>112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1" t="s">
        <v>112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1" t="s">
        <v>112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1" t="s">
        <v>112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1" t="s">
        <v>112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1" t="s">
        <v>112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</row>
    <row x14ac:dyDescent="0.25" r="33" customHeight="1" ht="18">
      <c r="A33" s="1" t="s">
        <v>166</v>
      </c>
      <c r="B33" s="4">
        <v>0</v>
      </c>
      <c r="C33" s="2" t="s">
        <v>112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2" t="s">
        <v>112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2" t="s">
        <v>112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2" t="s">
        <v>112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1" t="s">
        <v>112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1" t="s">
        <v>112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1" t="s">
        <v>112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1" t="s">
        <v>112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1" t="s">
        <v>112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1" t="s">
        <v>112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1" t="s">
        <v>112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</row>
    <row x14ac:dyDescent="0.25" r="34" customHeight="1" ht="18">
      <c r="A34" s="1" t="s">
        <v>167</v>
      </c>
      <c r="B34" s="4">
        <v>0</v>
      </c>
      <c r="C34" s="2" t="s">
        <v>112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2" t="s">
        <v>112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2" t="s">
        <v>112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2" t="s">
        <v>112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1" t="s">
        <v>112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1" t="s">
        <v>112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1" t="s">
        <v>112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1" t="s">
        <v>112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1" t="s">
        <v>112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1" t="s">
        <v>112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1" t="s">
        <v>112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</row>
    <row x14ac:dyDescent="0.25" r="35" customHeight="1" ht="18">
      <c r="A35" s="1" t="s">
        <v>168</v>
      </c>
      <c r="B35" s="4">
        <v>0</v>
      </c>
      <c r="C35" s="2" t="s">
        <v>112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2" t="s">
        <v>112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2" t="s">
        <v>112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2" t="s">
        <v>112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1" t="s">
        <v>112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1" t="s">
        <v>112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1" t="s">
        <v>112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1" t="s">
        <v>112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1" t="s">
        <v>112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1" t="s">
        <v>112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1" t="s">
        <v>112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</row>
    <row x14ac:dyDescent="0.25" r="36" customHeight="1" ht="18">
      <c r="A36" s="1" t="s">
        <v>169</v>
      </c>
      <c r="B36" s="4">
        <v>0</v>
      </c>
      <c r="C36" s="2" t="s">
        <v>112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2" t="s">
        <v>112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2" t="s">
        <v>112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2" t="s">
        <v>112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1" t="s">
        <v>112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1" t="s">
        <v>112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1" t="s">
        <v>112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1" t="s">
        <v>112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1" t="s">
        <v>112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1" t="s">
        <v>112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1" t="s">
        <v>112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</row>
    <row x14ac:dyDescent="0.25" r="37" customHeight="1" ht="18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3"/>
      <c r="Z37" s="3"/>
      <c r="AA37" s="3"/>
      <c r="AB37" s="3"/>
      <c r="AC37" s="3"/>
      <c r="AD37" s="3"/>
      <c r="AE37" s="1"/>
      <c r="AF37" s="3"/>
      <c r="AG37" s="3"/>
      <c r="AH37" s="3"/>
      <c r="AI37" s="3"/>
      <c r="AJ37" s="3"/>
      <c r="AK37" s="3"/>
      <c r="AL37" s="3"/>
      <c r="AM37" s="3"/>
      <c r="AN37" s="3"/>
      <c r="AO37" s="1"/>
      <c r="AP37" s="3"/>
      <c r="AQ37" s="3"/>
      <c r="AR37" s="3"/>
      <c r="AS37" s="3"/>
      <c r="AT37" s="3"/>
      <c r="AU37" s="3"/>
      <c r="AV37" s="3"/>
      <c r="AW37" s="3"/>
      <c r="AX37" s="3"/>
      <c r="AY37" s="1"/>
      <c r="AZ37" s="3"/>
      <c r="BA37" s="3"/>
      <c r="BB37" s="3"/>
      <c r="BC37" s="3"/>
      <c r="BD37" s="3"/>
      <c r="BE37" s="3"/>
      <c r="BF37" s="3"/>
      <c r="BG37" s="3"/>
      <c r="BH37" s="3"/>
      <c r="BI37" s="1"/>
      <c r="BJ37" s="3"/>
      <c r="BK37" s="3"/>
      <c r="BL37" s="3"/>
      <c r="BM37" s="3"/>
      <c r="BN37" s="3"/>
      <c r="BO37" s="3"/>
      <c r="BP37" s="3"/>
      <c r="BQ37" s="3"/>
      <c r="BR37" s="3"/>
      <c r="BS37" s="1"/>
      <c r="BT37" s="3"/>
      <c r="BU37" s="3"/>
      <c r="BV37" s="3"/>
      <c r="BW37" s="3"/>
      <c r="BX37" s="3"/>
      <c r="BY37" s="3"/>
      <c r="BZ37" s="3"/>
      <c r="CA37" s="3"/>
      <c r="CB37" s="3"/>
      <c r="CC37" s="1"/>
      <c r="CD37" s="3"/>
      <c r="CE37" s="3"/>
      <c r="CF37" s="3"/>
      <c r="CG37" s="3"/>
      <c r="CH37" s="3"/>
      <c r="CI37" s="3"/>
      <c r="CJ37" s="3"/>
      <c r="CK37" s="3"/>
      <c r="CL37" s="3"/>
      <c r="CM37" s="1"/>
      <c r="CN37" s="3"/>
      <c r="CO37" s="3"/>
      <c r="CP37" s="3"/>
      <c r="CQ37" s="3"/>
      <c r="CR37" s="3"/>
      <c r="CS37" s="3"/>
      <c r="CT37" s="3"/>
      <c r="CU37" s="3"/>
    </row>
    <row x14ac:dyDescent="0.25" r="38" customHeight="1" ht="1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/>
      <c r="Y38" s="3"/>
      <c r="Z38" s="3"/>
      <c r="AA38" s="3"/>
      <c r="AB38" s="3"/>
      <c r="AC38" s="3"/>
      <c r="AD38" s="3"/>
      <c r="AE38" s="1"/>
      <c r="AF38" s="3"/>
      <c r="AG38" s="3"/>
      <c r="AH38" s="3"/>
      <c r="AI38" s="3"/>
      <c r="AJ38" s="3"/>
      <c r="AK38" s="3"/>
      <c r="AL38" s="3"/>
      <c r="AM38" s="3"/>
      <c r="AN38" s="3"/>
      <c r="AO38" s="1"/>
      <c r="AP38" s="3"/>
      <c r="AQ38" s="3"/>
      <c r="AR38" s="3"/>
      <c r="AS38" s="3"/>
      <c r="AT38" s="3"/>
      <c r="AU38" s="3"/>
      <c r="AV38" s="3"/>
      <c r="AW38" s="3"/>
      <c r="AX38" s="3"/>
      <c r="AY38" s="1"/>
      <c r="AZ38" s="3"/>
      <c r="BA38" s="3"/>
      <c r="BB38" s="3"/>
      <c r="BC38" s="3"/>
      <c r="BD38" s="3"/>
      <c r="BE38" s="3"/>
      <c r="BF38" s="3"/>
      <c r="BG38" s="3"/>
      <c r="BH38" s="3"/>
      <c r="BI38" s="1"/>
      <c r="BJ38" s="3"/>
      <c r="BK38" s="3"/>
      <c r="BL38" s="3"/>
      <c r="BM38" s="3"/>
      <c r="BN38" s="3"/>
      <c r="BO38" s="3"/>
      <c r="BP38" s="3"/>
      <c r="BQ38" s="3"/>
      <c r="BR38" s="3"/>
      <c r="BS38" s="1"/>
      <c r="BT38" s="3"/>
      <c r="BU38" s="3"/>
      <c r="BV38" s="3"/>
      <c r="BW38" s="3"/>
      <c r="BX38" s="3"/>
      <c r="BY38" s="3"/>
      <c r="BZ38" s="3"/>
      <c r="CA38" s="3"/>
      <c r="CB38" s="3"/>
      <c r="CC38" s="1"/>
      <c r="CD38" s="3"/>
      <c r="CE38" s="3"/>
      <c r="CF38" s="3"/>
      <c r="CG38" s="3"/>
      <c r="CH38" s="3"/>
      <c r="CI38" s="3"/>
      <c r="CJ38" s="3"/>
      <c r="CK38" s="3"/>
      <c r="CL38" s="3"/>
      <c r="CM38" s="1"/>
      <c r="CN38" s="3"/>
      <c r="CO38" s="3"/>
      <c r="CP38" s="3"/>
      <c r="CQ38" s="3"/>
      <c r="CR38" s="3"/>
      <c r="CS38" s="3"/>
      <c r="CT38" s="3"/>
      <c r="CU38" s="3"/>
    </row>
    <row x14ac:dyDescent="0.25" r="39" customHeight="1" ht="18">
      <c r="A39" s="1" t="s">
        <v>130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3"/>
      <c r="Z39" s="3"/>
      <c r="AA39" s="3"/>
      <c r="AB39" s="3"/>
      <c r="AC39" s="3"/>
      <c r="AD39" s="3"/>
      <c r="AE39" s="1"/>
      <c r="AF39" s="3"/>
      <c r="AG39" s="3"/>
      <c r="AH39" s="3"/>
      <c r="AI39" s="3"/>
      <c r="AJ39" s="3"/>
      <c r="AK39" s="3"/>
      <c r="AL39" s="3"/>
      <c r="AM39" s="3"/>
      <c r="AN39" s="3"/>
      <c r="AO39" s="1"/>
      <c r="AP39" s="3"/>
      <c r="AQ39" s="3"/>
      <c r="AR39" s="3"/>
      <c r="AS39" s="3"/>
      <c r="AT39" s="3"/>
      <c r="AU39" s="3"/>
      <c r="AV39" s="3"/>
      <c r="AW39" s="3"/>
      <c r="AX39" s="3"/>
      <c r="AY39" s="1"/>
      <c r="AZ39" s="3"/>
      <c r="BA39" s="3"/>
      <c r="BB39" s="3"/>
      <c r="BC39" s="3"/>
      <c r="BD39" s="3"/>
      <c r="BE39" s="3"/>
      <c r="BF39" s="3"/>
      <c r="BG39" s="3"/>
      <c r="BH39" s="3"/>
      <c r="BI39" s="1"/>
      <c r="BJ39" s="3"/>
      <c r="BK39" s="3"/>
      <c r="BL39" s="3"/>
      <c r="BM39" s="3"/>
      <c r="BN39" s="3"/>
      <c r="BO39" s="3"/>
      <c r="BP39" s="3"/>
      <c r="BQ39" s="3"/>
      <c r="BR39" s="3"/>
      <c r="BS39" s="1"/>
      <c r="BT39" s="3"/>
      <c r="BU39" s="3"/>
      <c r="BV39" s="3"/>
      <c r="BW39" s="3"/>
      <c r="BX39" s="3"/>
      <c r="BY39" s="3"/>
      <c r="BZ39" s="3"/>
      <c r="CA39" s="3"/>
      <c r="CB39" s="3"/>
      <c r="CC39" s="1"/>
      <c r="CD39" s="3"/>
      <c r="CE39" s="3"/>
      <c r="CF39" s="3"/>
      <c r="CG39" s="3"/>
      <c r="CH39" s="3"/>
      <c r="CI39" s="3"/>
      <c r="CJ39" s="3"/>
      <c r="CK39" s="3"/>
      <c r="CL39" s="3"/>
      <c r="CM39" s="1"/>
      <c r="CN39" s="3"/>
      <c r="CO39" s="3"/>
      <c r="CP39" s="3"/>
      <c r="CQ39" s="3"/>
      <c r="CR39" s="3"/>
      <c r="CS39" s="3"/>
      <c r="CT39" s="3"/>
      <c r="CU39" s="3"/>
    </row>
    <row x14ac:dyDescent="0.25" r="40" customHeight="1" ht="18">
      <c r="A40" s="1" t="s">
        <v>0</v>
      </c>
      <c r="B40" s="2" t="s">
        <v>5</v>
      </c>
      <c r="C40" s="2" t="s">
        <v>11</v>
      </c>
      <c r="D40" s="2" t="s">
        <v>17</v>
      </c>
      <c r="E40" s="2" t="s">
        <v>27</v>
      </c>
      <c r="F40" s="2" t="s">
        <v>37</v>
      </c>
      <c r="G40" s="2" t="s">
        <v>47</v>
      </c>
      <c r="H40" s="2" t="s">
        <v>57</v>
      </c>
      <c r="I40" s="2" t="s">
        <v>67</v>
      </c>
      <c r="J40" s="2" t="s">
        <v>77</v>
      </c>
      <c r="K40" s="2" t="s">
        <v>87</v>
      </c>
      <c r="L40" s="2" t="s">
        <v>97</v>
      </c>
      <c r="M40" s="2" t="s">
        <v>6</v>
      </c>
      <c r="N40" s="2" t="s">
        <v>12</v>
      </c>
      <c r="O40" s="2" t="s">
        <v>18</v>
      </c>
      <c r="P40" s="2" t="s">
        <v>28</v>
      </c>
      <c r="Q40" s="2" t="s">
        <v>38</v>
      </c>
      <c r="R40" s="2" t="s">
        <v>48</v>
      </c>
      <c r="S40" s="2" t="s">
        <v>58</v>
      </c>
      <c r="T40" s="2" t="s">
        <v>68</v>
      </c>
      <c r="U40" s="2" t="s">
        <v>78</v>
      </c>
      <c r="V40" s="2" t="s">
        <v>88</v>
      </c>
      <c r="W40" s="2" t="s">
        <v>98</v>
      </c>
      <c r="X40" s="3" t="s">
        <v>2</v>
      </c>
      <c r="Y40" s="3" t="s">
        <v>8</v>
      </c>
      <c r="Z40" s="3" t="s">
        <v>14</v>
      </c>
      <c r="AA40" s="3" t="s">
        <v>20</v>
      </c>
      <c r="AB40" s="3" t="s">
        <v>30</v>
      </c>
      <c r="AC40" s="3" t="s">
        <v>40</v>
      </c>
      <c r="AD40" s="3" t="s">
        <v>50</v>
      </c>
      <c r="AE40" s="1" t="s">
        <v>60</v>
      </c>
      <c r="AF40" s="3" t="s">
        <v>70</v>
      </c>
      <c r="AG40" s="3" t="s">
        <v>80</v>
      </c>
      <c r="AH40" s="3" t="s">
        <v>90</v>
      </c>
      <c r="AI40" s="3"/>
      <c r="AJ40" s="3"/>
      <c r="AK40" s="3"/>
      <c r="AL40" s="3"/>
      <c r="AM40" s="3"/>
      <c r="AN40" s="3"/>
      <c r="AO40" s="1"/>
      <c r="AP40" s="3"/>
      <c r="AQ40" s="3"/>
      <c r="AR40" s="3"/>
      <c r="AS40" s="3"/>
      <c r="AT40" s="3"/>
      <c r="AU40" s="3"/>
      <c r="AV40" s="3"/>
      <c r="AW40" s="3"/>
      <c r="AX40" s="3"/>
      <c r="AY40" s="1"/>
      <c r="AZ40" s="3"/>
      <c r="BA40" s="3"/>
      <c r="BB40" s="3"/>
      <c r="BC40" s="3"/>
      <c r="BD40" s="3"/>
      <c r="BE40" s="3"/>
      <c r="BF40" s="3"/>
      <c r="BG40" s="3"/>
      <c r="BH40" s="3"/>
      <c r="BI40" s="1"/>
      <c r="BJ40" s="3"/>
      <c r="BK40" s="3"/>
      <c r="BL40" s="3"/>
      <c r="BM40" s="3"/>
      <c r="BN40" s="3"/>
      <c r="BO40" s="3"/>
      <c r="BP40" s="3"/>
      <c r="BQ40" s="3"/>
      <c r="BR40" s="3"/>
      <c r="BS40" s="1"/>
      <c r="BT40" s="3"/>
      <c r="BU40" s="3"/>
      <c r="BV40" s="3"/>
      <c r="BW40" s="3"/>
      <c r="BX40" s="3"/>
      <c r="BY40" s="3"/>
      <c r="BZ40" s="3"/>
      <c r="CA40" s="3"/>
      <c r="CB40" s="3"/>
      <c r="CC40" s="1"/>
      <c r="CD40" s="3"/>
      <c r="CE40" s="3"/>
      <c r="CF40" s="3"/>
      <c r="CG40" s="3"/>
      <c r="CH40" s="3"/>
      <c r="CI40" s="3"/>
      <c r="CJ40" s="3"/>
      <c r="CK40" s="3"/>
      <c r="CL40" s="3"/>
      <c r="CM40" s="1"/>
      <c r="CN40" s="3"/>
      <c r="CO40" s="3"/>
      <c r="CP40" s="3"/>
      <c r="CQ40" s="3"/>
      <c r="CR40" s="3"/>
      <c r="CS40" s="3"/>
      <c r="CT40" s="3"/>
      <c r="CU40" s="3"/>
    </row>
    <row x14ac:dyDescent="0.25" r="41" customHeight="1" ht="18">
      <c r="A41" s="1" t="s">
        <v>131</v>
      </c>
      <c r="B41" s="4">
        <v>23280</v>
      </c>
      <c r="C41" s="4">
        <v>23280</v>
      </c>
      <c r="D41" s="4">
        <v>6480</v>
      </c>
      <c r="E41" s="4">
        <v>23280</v>
      </c>
      <c r="F41" s="4">
        <v>23280</v>
      </c>
      <c r="G41" s="4">
        <v>23280</v>
      </c>
      <c r="H41" s="4">
        <v>23280</v>
      </c>
      <c r="I41" s="4">
        <v>23280</v>
      </c>
      <c r="J41" s="4">
        <v>23280</v>
      </c>
      <c r="K41" s="4">
        <v>23280</v>
      </c>
      <c r="L41" s="4">
        <v>23280</v>
      </c>
      <c r="M41" s="4">
        <v>15522917</v>
      </c>
      <c r="N41" s="4">
        <v>15522917</v>
      </c>
      <c r="O41" s="4">
        <v>4320812</v>
      </c>
      <c r="P41" s="4">
        <v>15522917</v>
      </c>
      <c r="Q41" s="4">
        <v>15522917</v>
      </c>
      <c r="R41" s="4">
        <v>15522917</v>
      </c>
      <c r="S41" s="4">
        <v>15522917</v>
      </c>
      <c r="T41" s="4">
        <v>15522917</v>
      </c>
      <c r="U41" s="4">
        <v>15522917</v>
      </c>
      <c r="V41" s="4">
        <v>15522917</v>
      </c>
      <c r="W41" s="4">
        <v>15522917</v>
      </c>
      <c r="X41" s="3" t="s">
        <v>132</v>
      </c>
      <c r="Y41" s="3" t="s">
        <v>132</v>
      </c>
      <c r="Z41" s="3" t="s">
        <v>133</v>
      </c>
      <c r="AA41" s="3" t="s">
        <v>132</v>
      </c>
      <c r="AB41" s="3" t="s">
        <v>132</v>
      </c>
      <c r="AC41" s="3" t="s">
        <v>132</v>
      </c>
      <c r="AD41" s="3" t="s">
        <v>132</v>
      </c>
      <c r="AE41" s="1" t="s">
        <v>132</v>
      </c>
      <c r="AF41" s="3" t="s">
        <v>132</v>
      </c>
      <c r="AG41" s="3" t="s">
        <v>132</v>
      </c>
      <c r="AH41" s="3" t="s">
        <v>132</v>
      </c>
      <c r="AI41" s="3"/>
      <c r="AJ41" s="3"/>
      <c r="AK41" s="3"/>
      <c r="AL41" s="3"/>
      <c r="AM41" s="3"/>
      <c r="AN41" s="3"/>
      <c r="AO41" s="1"/>
      <c r="AP41" s="3"/>
      <c r="AQ41" s="3"/>
      <c r="AR41" s="3"/>
      <c r="AS41" s="3"/>
      <c r="AT41" s="3"/>
      <c r="AU41" s="3"/>
      <c r="AV41" s="3"/>
      <c r="AW41" s="3"/>
      <c r="AX41" s="3"/>
      <c r="AY41" s="1"/>
      <c r="AZ41" s="3"/>
      <c r="BA41" s="3"/>
      <c r="BB41" s="3"/>
      <c r="BC41" s="3"/>
      <c r="BD41" s="3"/>
      <c r="BE41" s="3"/>
      <c r="BF41" s="3"/>
      <c r="BG41" s="3"/>
      <c r="BH41" s="3"/>
      <c r="BI41" s="1"/>
      <c r="BJ41" s="3"/>
      <c r="BK41" s="3"/>
      <c r="BL41" s="3"/>
      <c r="BM41" s="3"/>
      <c r="BN41" s="3"/>
      <c r="BO41" s="3"/>
      <c r="BP41" s="3"/>
      <c r="BQ41" s="3"/>
      <c r="BR41" s="3"/>
      <c r="BS41" s="1"/>
      <c r="BT41" s="3"/>
      <c r="BU41" s="3"/>
      <c r="BV41" s="3"/>
      <c r="BW41" s="3"/>
      <c r="BX41" s="3"/>
      <c r="BY41" s="3"/>
      <c r="BZ41" s="3"/>
      <c r="CA41" s="3"/>
      <c r="CB41" s="3"/>
      <c r="CC41" s="1"/>
      <c r="CD41" s="3"/>
      <c r="CE41" s="3"/>
      <c r="CF41" s="3"/>
      <c r="CG41" s="3"/>
      <c r="CH41" s="3"/>
      <c r="CI41" s="3"/>
      <c r="CJ41" s="3"/>
      <c r="CK41" s="3"/>
      <c r="CL41" s="3"/>
      <c r="CM41" s="1"/>
      <c r="CN41" s="3"/>
      <c r="CO41" s="3"/>
      <c r="CP41" s="3"/>
      <c r="CQ41" s="3"/>
      <c r="CR41" s="3"/>
      <c r="CS41" s="3"/>
      <c r="CT41" s="3"/>
      <c r="CU41" s="3"/>
    </row>
    <row x14ac:dyDescent="0.25" r="42" customHeight="1" ht="18">
      <c r="A42" s="1" t="s">
        <v>134</v>
      </c>
      <c r="B42" s="4">
        <v>23280</v>
      </c>
      <c r="C42" s="4">
        <v>11040</v>
      </c>
      <c r="D42" s="4">
        <v>0</v>
      </c>
      <c r="E42" s="4">
        <v>23280</v>
      </c>
      <c r="F42" s="4">
        <v>23280</v>
      </c>
      <c r="G42" s="4">
        <v>23280</v>
      </c>
      <c r="H42" s="4">
        <v>23280</v>
      </c>
      <c r="I42" s="4">
        <v>23280</v>
      </c>
      <c r="J42" s="4">
        <v>23280</v>
      </c>
      <c r="K42" s="4">
        <v>23280</v>
      </c>
      <c r="L42" s="4">
        <v>23280</v>
      </c>
      <c r="M42" s="4">
        <v>15522917</v>
      </c>
      <c r="N42" s="4">
        <v>7361383</v>
      </c>
      <c r="O42" s="4">
        <v>0</v>
      </c>
      <c r="P42" s="4">
        <v>15522917</v>
      </c>
      <c r="Q42" s="4">
        <v>15522917</v>
      </c>
      <c r="R42" s="4">
        <v>15522917</v>
      </c>
      <c r="S42" s="4">
        <v>15522917</v>
      </c>
      <c r="T42" s="4">
        <v>15522917</v>
      </c>
      <c r="U42" s="4">
        <v>15522917</v>
      </c>
      <c r="V42" s="4">
        <v>15522917</v>
      </c>
      <c r="W42" s="4">
        <v>15522917</v>
      </c>
      <c r="X42" s="3" t="s">
        <v>132</v>
      </c>
      <c r="Y42" s="3" t="s">
        <v>135</v>
      </c>
      <c r="Z42" s="3" t="s">
        <v>112</v>
      </c>
      <c r="AA42" s="3" t="s">
        <v>132</v>
      </c>
      <c r="AB42" s="3" t="s">
        <v>132</v>
      </c>
      <c r="AC42" s="3" t="s">
        <v>132</v>
      </c>
      <c r="AD42" s="3" t="s">
        <v>132</v>
      </c>
      <c r="AE42" s="1" t="s">
        <v>132</v>
      </c>
      <c r="AF42" s="3" t="s">
        <v>132</v>
      </c>
      <c r="AG42" s="3" t="s">
        <v>132</v>
      </c>
      <c r="AH42" s="3" t="s">
        <v>132</v>
      </c>
      <c r="AI42" s="3"/>
      <c r="AJ42" s="3"/>
      <c r="AK42" s="3"/>
      <c r="AL42" s="3"/>
      <c r="AM42" s="3"/>
      <c r="AN42" s="3"/>
      <c r="AO42" s="1"/>
      <c r="AP42" s="3"/>
      <c r="AQ42" s="3"/>
      <c r="AR42" s="3"/>
      <c r="AS42" s="3"/>
      <c r="AT42" s="3"/>
      <c r="AU42" s="3"/>
      <c r="AV42" s="3"/>
      <c r="AW42" s="3"/>
      <c r="AX42" s="3"/>
      <c r="AY42" s="1"/>
      <c r="AZ42" s="3"/>
      <c r="BA42" s="3"/>
      <c r="BB42" s="3"/>
      <c r="BC42" s="3"/>
      <c r="BD42" s="3"/>
      <c r="BE42" s="3"/>
      <c r="BF42" s="3"/>
      <c r="BG42" s="3"/>
      <c r="BH42" s="3"/>
      <c r="BI42" s="1"/>
      <c r="BJ42" s="3"/>
      <c r="BK42" s="3"/>
      <c r="BL42" s="3"/>
      <c r="BM42" s="3"/>
      <c r="BN42" s="3"/>
      <c r="BO42" s="3"/>
      <c r="BP42" s="3"/>
      <c r="BQ42" s="3"/>
      <c r="BR42" s="3"/>
      <c r="BS42" s="1"/>
      <c r="BT42" s="3"/>
      <c r="BU42" s="3"/>
      <c r="BV42" s="3"/>
      <c r="BW42" s="3"/>
      <c r="BX42" s="3"/>
      <c r="BY42" s="3"/>
      <c r="BZ42" s="3"/>
      <c r="CA42" s="3"/>
      <c r="CB42" s="3"/>
      <c r="CC42" s="1"/>
      <c r="CD42" s="3"/>
      <c r="CE42" s="3"/>
      <c r="CF42" s="3"/>
      <c r="CG42" s="3"/>
      <c r="CH42" s="3"/>
      <c r="CI42" s="3"/>
      <c r="CJ42" s="3"/>
      <c r="CK42" s="3"/>
      <c r="CL42" s="3"/>
      <c r="CM42" s="1"/>
      <c r="CN42" s="3"/>
      <c r="CO42" s="3"/>
      <c r="CP42" s="3"/>
      <c r="CQ42" s="3"/>
      <c r="CR42" s="3"/>
      <c r="CS42" s="3"/>
      <c r="CT42" s="3"/>
      <c r="CU42" s="3"/>
    </row>
    <row x14ac:dyDescent="0.25" r="43" customHeight="1" ht="18">
      <c r="A43" s="1" t="s">
        <v>136</v>
      </c>
      <c r="B43" s="4">
        <v>6960</v>
      </c>
      <c r="C43" s="4">
        <v>0</v>
      </c>
      <c r="D43" s="4">
        <v>0</v>
      </c>
      <c r="E43" s="4">
        <v>23280</v>
      </c>
      <c r="F43" s="4">
        <v>23280</v>
      </c>
      <c r="G43" s="4">
        <v>23280</v>
      </c>
      <c r="H43" s="4">
        <v>23280</v>
      </c>
      <c r="I43" s="4">
        <v>23280</v>
      </c>
      <c r="J43" s="4">
        <v>23280</v>
      </c>
      <c r="K43" s="4">
        <v>23280</v>
      </c>
      <c r="L43" s="4">
        <v>23280</v>
      </c>
      <c r="M43" s="4">
        <v>4640872</v>
      </c>
      <c r="N43" s="4">
        <v>0</v>
      </c>
      <c r="O43" s="4">
        <v>0</v>
      </c>
      <c r="P43" s="4">
        <v>15522917</v>
      </c>
      <c r="Q43" s="4">
        <v>15522917</v>
      </c>
      <c r="R43" s="4">
        <v>15522917</v>
      </c>
      <c r="S43" s="4">
        <v>15522917</v>
      </c>
      <c r="T43" s="4">
        <v>15522917</v>
      </c>
      <c r="U43" s="4">
        <v>15522917</v>
      </c>
      <c r="V43" s="4">
        <v>15522917</v>
      </c>
      <c r="W43" s="4">
        <v>15522917</v>
      </c>
      <c r="X43" s="3" t="s">
        <v>137</v>
      </c>
      <c r="Y43" s="3" t="s">
        <v>112</v>
      </c>
      <c r="Z43" s="3" t="s">
        <v>112</v>
      </c>
      <c r="AA43" s="3" t="s">
        <v>132</v>
      </c>
      <c r="AB43" s="3" t="s">
        <v>132</v>
      </c>
      <c r="AC43" s="3" t="s">
        <v>132</v>
      </c>
      <c r="AD43" s="3" t="s">
        <v>132</v>
      </c>
      <c r="AE43" s="1" t="s">
        <v>132</v>
      </c>
      <c r="AF43" s="3" t="s">
        <v>132</v>
      </c>
      <c r="AG43" s="3" t="s">
        <v>132</v>
      </c>
      <c r="AH43" s="3" t="s">
        <v>132</v>
      </c>
      <c r="AI43" s="3"/>
      <c r="AJ43" s="3"/>
      <c r="AK43" s="3"/>
      <c r="AL43" s="3"/>
      <c r="AM43" s="3"/>
      <c r="AN43" s="3"/>
      <c r="AO43" s="1"/>
      <c r="AP43" s="3"/>
      <c r="AQ43" s="3"/>
      <c r="AR43" s="3"/>
      <c r="AS43" s="3"/>
      <c r="AT43" s="3"/>
      <c r="AU43" s="3"/>
      <c r="AV43" s="3"/>
      <c r="AW43" s="3"/>
      <c r="AX43" s="3"/>
      <c r="AY43" s="1"/>
      <c r="AZ43" s="3"/>
      <c r="BA43" s="3"/>
      <c r="BB43" s="3"/>
      <c r="BC43" s="3"/>
      <c r="BD43" s="3"/>
      <c r="BE43" s="3"/>
      <c r="BF43" s="3"/>
      <c r="BG43" s="3"/>
      <c r="BH43" s="3"/>
      <c r="BI43" s="1"/>
      <c r="BJ43" s="3"/>
      <c r="BK43" s="3"/>
      <c r="BL43" s="3"/>
      <c r="BM43" s="3"/>
      <c r="BN43" s="3"/>
      <c r="BO43" s="3"/>
      <c r="BP43" s="3"/>
      <c r="BQ43" s="3"/>
      <c r="BR43" s="3"/>
      <c r="BS43" s="1"/>
      <c r="BT43" s="3"/>
      <c r="BU43" s="3"/>
      <c r="BV43" s="3"/>
      <c r="BW43" s="3"/>
      <c r="BX43" s="3"/>
      <c r="BY43" s="3"/>
      <c r="BZ43" s="3"/>
      <c r="CA43" s="3"/>
      <c r="CB43" s="3"/>
      <c r="CC43" s="1"/>
      <c r="CD43" s="3"/>
      <c r="CE43" s="3"/>
      <c r="CF43" s="3"/>
      <c r="CG43" s="3"/>
      <c r="CH43" s="3"/>
      <c r="CI43" s="3"/>
      <c r="CJ43" s="3"/>
      <c r="CK43" s="3"/>
      <c r="CL43" s="3"/>
      <c r="CM43" s="1"/>
      <c r="CN43" s="3"/>
      <c r="CO43" s="3"/>
      <c r="CP43" s="3"/>
      <c r="CQ43" s="3"/>
      <c r="CR43" s="3"/>
      <c r="CS43" s="3"/>
      <c r="CT43" s="3"/>
      <c r="CU43" s="3"/>
    </row>
    <row x14ac:dyDescent="0.25" r="44" customHeight="1" ht="18">
      <c r="A44" s="1" t="s">
        <v>138</v>
      </c>
      <c r="B44" s="4">
        <v>0</v>
      </c>
      <c r="C44" s="4">
        <v>0</v>
      </c>
      <c r="D44" s="4">
        <v>0</v>
      </c>
      <c r="E44" s="4">
        <v>23280</v>
      </c>
      <c r="F44" s="4">
        <v>23280</v>
      </c>
      <c r="G44" s="4">
        <v>23280</v>
      </c>
      <c r="H44" s="4">
        <v>23280</v>
      </c>
      <c r="I44" s="4">
        <v>23280</v>
      </c>
      <c r="J44" s="4">
        <v>23280</v>
      </c>
      <c r="K44" s="4">
        <v>23280</v>
      </c>
      <c r="L44" s="4">
        <v>23280</v>
      </c>
      <c r="M44" s="4">
        <v>0</v>
      </c>
      <c r="N44" s="4">
        <v>0</v>
      </c>
      <c r="O44" s="4">
        <v>0</v>
      </c>
      <c r="P44" s="4">
        <v>15522917</v>
      </c>
      <c r="Q44" s="4">
        <v>15522917</v>
      </c>
      <c r="R44" s="4">
        <v>15522917</v>
      </c>
      <c r="S44" s="4">
        <v>15522917</v>
      </c>
      <c r="T44" s="4">
        <v>15522917</v>
      </c>
      <c r="U44" s="4">
        <v>15522917</v>
      </c>
      <c r="V44" s="4">
        <v>15522917</v>
      </c>
      <c r="W44" s="4">
        <v>15522917</v>
      </c>
      <c r="X44" s="3" t="s">
        <v>112</v>
      </c>
      <c r="Y44" s="3" t="s">
        <v>112</v>
      </c>
      <c r="Z44" s="3" t="s">
        <v>112</v>
      </c>
      <c r="AA44" s="3" t="s">
        <v>132</v>
      </c>
      <c r="AB44" s="3" t="s">
        <v>132</v>
      </c>
      <c r="AC44" s="3" t="s">
        <v>132</v>
      </c>
      <c r="AD44" s="3" t="s">
        <v>132</v>
      </c>
      <c r="AE44" s="1" t="s">
        <v>132</v>
      </c>
      <c r="AF44" s="3" t="s">
        <v>132</v>
      </c>
      <c r="AG44" s="3" t="s">
        <v>132</v>
      </c>
      <c r="AH44" s="3" t="s">
        <v>132</v>
      </c>
      <c r="AI44" s="3"/>
      <c r="AJ44" s="3"/>
      <c r="AK44" s="3"/>
      <c r="AL44" s="3"/>
      <c r="AM44" s="3"/>
      <c r="AN44" s="3"/>
      <c r="AO44" s="1"/>
      <c r="AP44" s="3"/>
      <c r="AQ44" s="3"/>
      <c r="AR44" s="3"/>
      <c r="AS44" s="3"/>
      <c r="AT44" s="3"/>
      <c r="AU44" s="3"/>
      <c r="AV44" s="3"/>
      <c r="AW44" s="3"/>
      <c r="AX44" s="3"/>
      <c r="AY44" s="1"/>
      <c r="AZ44" s="3"/>
      <c r="BA44" s="3"/>
      <c r="BB44" s="3"/>
      <c r="BC44" s="3"/>
      <c r="BD44" s="3"/>
      <c r="BE44" s="3"/>
      <c r="BF44" s="3"/>
      <c r="BG44" s="3"/>
      <c r="BH44" s="3"/>
      <c r="BI44" s="1"/>
      <c r="BJ44" s="3"/>
      <c r="BK44" s="3"/>
      <c r="BL44" s="3"/>
      <c r="BM44" s="3"/>
      <c r="BN44" s="3"/>
      <c r="BO44" s="3"/>
      <c r="BP44" s="3"/>
      <c r="BQ44" s="3"/>
      <c r="BR44" s="3"/>
      <c r="BS44" s="1"/>
      <c r="BT44" s="3"/>
      <c r="BU44" s="3"/>
      <c r="BV44" s="3"/>
      <c r="BW44" s="3"/>
      <c r="BX44" s="3"/>
      <c r="BY44" s="3"/>
      <c r="BZ44" s="3"/>
      <c r="CA44" s="3"/>
      <c r="CB44" s="3"/>
      <c r="CC44" s="1"/>
      <c r="CD44" s="3"/>
      <c r="CE44" s="3"/>
      <c r="CF44" s="3"/>
      <c r="CG44" s="3"/>
      <c r="CH44" s="3"/>
      <c r="CI44" s="3"/>
      <c r="CJ44" s="3"/>
      <c r="CK44" s="3"/>
      <c r="CL44" s="3"/>
      <c r="CM44" s="1"/>
      <c r="CN44" s="3"/>
      <c r="CO44" s="3"/>
      <c r="CP44" s="3"/>
      <c r="CQ44" s="3"/>
      <c r="CR44" s="3"/>
      <c r="CS44" s="3"/>
      <c r="CT44" s="3"/>
      <c r="CU44" s="3"/>
    </row>
    <row x14ac:dyDescent="0.25" r="45" customHeight="1" ht="18">
      <c r="A45" s="1" t="s">
        <v>139</v>
      </c>
      <c r="B45" s="4">
        <v>0</v>
      </c>
      <c r="C45" s="4">
        <v>0</v>
      </c>
      <c r="D45" s="4">
        <v>0</v>
      </c>
      <c r="E45" s="4">
        <v>23280</v>
      </c>
      <c r="F45" s="4">
        <v>23280</v>
      </c>
      <c r="G45" s="4">
        <v>23280</v>
      </c>
      <c r="H45" s="4">
        <v>23280</v>
      </c>
      <c r="I45" s="4">
        <v>23280</v>
      </c>
      <c r="J45" s="4">
        <v>23280</v>
      </c>
      <c r="K45" s="4">
        <v>23280</v>
      </c>
      <c r="L45" s="4">
        <v>23280</v>
      </c>
      <c r="M45" s="4">
        <v>0</v>
      </c>
      <c r="N45" s="4">
        <v>0</v>
      </c>
      <c r="O45" s="4">
        <v>0</v>
      </c>
      <c r="P45" s="4">
        <v>15522917</v>
      </c>
      <c r="Q45" s="4">
        <v>15522917</v>
      </c>
      <c r="R45" s="4">
        <v>15522917</v>
      </c>
      <c r="S45" s="4">
        <v>15522917</v>
      </c>
      <c r="T45" s="4">
        <v>15522917</v>
      </c>
      <c r="U45" s="4">
        <v>15522917</v>
      </c>
      <c r="V45" s="4">
        <v>15522917</v>
      </c>
      <c r="W45" s="4">
        <v>15522917</v>
      </c>
      <c r="X45" s="3" t="s">
        <v>112</v>
      </c>
      <c r="Y45" s="3" t="s">
        <v>112</v>
      </c>
      <c r="Z45" s="3" t="s">
        <v>112</v>
      </c>
      <c r="AA45" s="3" t="s">
        <v>132</v>
      </c>
      <c r="AB45" s="3" t="s">
        <v>132</v>
      </c>
      <c r="AC45" s="3" t="s">
        <v>132</v>
      </c>
      <c r="AD45" s="3" t="s">
        <v>132</v>
      </c>
      <c r="AE45" s="1" t="s">
        <v>132</v>
      </c>
      <c r="AF45" s="3" t="s">
        <v>132</v>
      </c>
      <c r="AG45" s="3" t="s">
        <v>132</v>
      </c>
      <c r="AH45" s="3" t="s">
        <v>132</v>
      </c>
      <c r="AI45" s="3"/>
      <c r="AJ45" s="3"/>
      <c r="AK45" s="3"/>
      <c r="AL45" s="3"/>
      <c r="AM45" s="3"/>
      <c r="AN45" s="3"/>
      <c r="AO45" s="1"/>
      <c r="AP45" s="3"/>
      <c r="AQ45" s="3"/>
      <c r="AR45" s="3"/>
      <c r="AS45" s="3"/>
      <c r="AT45" s="3"/>
      <c r="AU45" s="3"/>
      <c r="AV45" s="3"/>
      <c r="AW45" s="3"/>
      <c r="AX45" s="3"/>
      <c r="AY45" s="1"/>
      <c r="AZ45" s="3"/>
      <c r="BA45" s="3"/>
      <c r="BB45" s="3"/>
      <c r="BC45" s="3"/>
      <c r="BD45" s="3"/>
      <c r="BE45" s="3"/>
      <c r="BF45" s="3"/>
      <c r="BG45" s="3"/>
      <c r="BH45" s="3"/>
      <c r="BI45" s="1"/>
      <c r="BJ45" s="3"/>
      <c r="BK45" s="3"/>
      <c r="BL45" s="3"/>
      <c r="BM45" s="3"/>
      <c r="BN45" s="3"/>
      <c r="BO45" s="3"/>
      <c r="BP45" s="3"/>
      <c r="BQ45" s="3"/>
      <c r="BR45" s="3"/>
      <c r="BS45" s="1"/>
      <c r="BT45" s="3"/>
      <c r="BU45" s="3"/>
      <c r="BV45" s="3"/>
      <c r="BW45" s="3"/>
      <c r="BX45" s="3"/>
      <c r="BY45" s="3"/>
      <c r="BZ45" s="3"/>
      <c r="CA45" s="3"/>
      <c r="CB45" s="3"/>
      <c r="CC45" s="1"/>
      <c r="CD45" s="3"/>
      <c r="CE45" s="3"/>
      <c r="CF45" s="3"/>
      <c r="CG45" s="3"/>
      <c r="CH45" s="3"/>
      <c r="CI45" s="3"/>
      <c r="CJ45" s="3"/>
      <c r="CK45" s="3"/>
      <c r="CL45" s="3"/>
      <c r="CM45" s="1"/>
      <c r="CN45" s="3"/>
      <c r="CO45" s="3"/>
      <c r="CP45" s="3"/>
      <c r="CQ45" s="3"/>
      <c r="CR45" s="3"/>
      <c r="CS45" s="3"/>
      <c r="CT45" s="3"/>
      <c r="CU45" s="3"/>
    </row>
    <row x14ac:dyDescent="0.25" r="46" customHeight="1" ht="18">
      <c r="A46" s="1" t="s">
        <v>140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3" t="s">
        <v>112</v>
      </c>
      <c r="Y46" s="3" t="s">
        <v>112</v>
      </c>
      <c r="Z46" s="3" t="s">
        <v>112</v>
      </c>
      <c r="AA46" s="3" t="s">
        <v>112</v>
      </c>
      <c r="AB46" s="3" t="s">
        <v>112</v>
      </c>
      <c r="AC46" s="3" t="s">
        <v>112</v>
      </c>
      <c r="AD46" s="3" t="s">
        <v>112</v>
      </c>
      <c r="AE46" s="1" t="s">
        <v>112</v>
      </c>
      <c r="AF46" s="3" t="s">
        <v>112</v>
      </c>
      <c r="AG46" s="3" t="s">
        <v>112</v>
      </c>
      <c r="AH46" s="3" t="s">
        <v>112</v>
      </c>
      <c r="AI46" s="3"/>
      <c r="AJ46" s="3"/>
      <c r="AK46" s="3"/>
      <c r="AL46" s="3"/>
      <c r="AM46" s="3"/>
      <c r="AN46" s="3"/>
      <c r="AO46" s="1"/>
      <c r="AP46" s="3"/>
      <c r="AQ46" s="3"/>
      <c r="AR46" s="3"/>
      <c r="AS46" s="3"/>
      <c r="AT46" s="3"/>
      <c r="AU46" s="3"/>
      <c r="AV46" s="3"/>
      <c r="AW46" s="3"/>
      <c r="AX46" s="3"/>
      <c r="AY46" s="1"/>
      <c r="AZ46" s="3"/>
      <c r="BA46" s="3"/>
      <c r="BB46" s="3"/>
      <c r="BC46" s="3"/>
      <c r="BD46" s="3"/>
      <c r="BE46" s="3"/>
      <c r="BF46" s="3"/>
      <c r="BG46" s="3"/>
      <c r="BH46" s="3"/>
      <c r="BI46" s="1"/>
      <c r="BJ46" s="3"/>
      <c r="BK46" s="3"/>
      <c r="BL46" s="3"/>
      <c r="BM46" s="3"/>
      <c r="BN46" s="3"/>
      <c r="BO46" s="3"/>
      <c r="BP46" s="3"/>
      <c r="BQ46" s="3"/>
      <c r="BR46" s="3"/>
      <c r="BS46" s="1"/>
      <c r="BT46" s="3"/>
      <c r="BU46" s="3"/>
      <c r="BV46" s="3"/>
      <c r="BW46" s="3"/>
      <c r="BX46" s="3"/>
      <c r="BY46" s="3"/>
      <c r="BZ46" s="3"/>
      <c r="CA46" s="3"/>
      <c r="CB46" s="3"/>
      <c r="CC46" s="1"/>
      <c r="CD46" s="3"/>
      <c r="CE46" s="3"/>
      <c r="CF46" s="3"/>
      <c r="CG46" s="3"/>
      <c r="CH46" s="3"/>
      <c r="CI46" s="3"/>
      <c r="CJ46" s="3"/>
      <c r="CK46" s="3"/>
      <c r="CL46" s="3"/>
      <c r="CM46" s="1"/>
      <c r="CN46" s="3"/>
      <c r="CO46" s="3"/>
      <c r="CP46" s="3"/>
      <c r="CQ46" s="3"/>
      <c r="CR46" s="3"/>
      <c r="CS46" s="3"/>
      <c r="CT46" s="3"/>
      <c r="CU46" s="3"/>
    </row>
    <row x14ac:dyDescent="0.25" r="47" customHeight="1" ht="18">
      <c r="A47" s="1" t="s">
        <v>141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3" t="s">
        <v>112</v>
      </c>
      <c r="Y47" s="3" t="s">
        <v>112</v>
      </c>
      <c r="Z47" s="3" t="s">
        <v>112</v>
      </c>
      <c r="AA47" s="3" t="s">
        <v>112</v>
      </c>
      <c r="AB47" s="3" t="s">
        <v>112</v>
      </c>
      <c r="AC47" s="3" t="s">
        <v>112</v>
      </c>
      <c r="AD47" s="3" t="s">
        <v>112</v>
      </c>
      <c r="AE47" s="1" t="s">
        <v>112</v>
      </c>
      <c r="AF47" s="3" t="s">
        <v>112</v>
      </c>
      <c r="AG47" s="3" t="s">
        <v>112</v>
      </c>
      <c r="AH47" s="3" t="s">
        <v>112</v>
      </c>
      <c r="AI47" s="3"/>
      <c r="AJ47" s="3"/>
      <c r="AK47" s="3"/>
      <c r="AL47" s="3"/>
      <c r="AM47" s="3"/>
      <c r="AN47" s="3"/>
      <c r="AO47" s="1"/>
      <c r="AP47" s="3"/>
      <c r="AQ47" s="3"/>
      <c r="AR47" s="3"/>
      <c r="AS47" s="3"/>
      <c r="AT47" s="3"/>
      <c r="AU47" s="3"/>
      <c r="AV47" s="3"/>
      <c r="AW47" s="3"/>
      <c r="AX47" s="3"/>
      <c r="AY47" s="1"/>
      <c r="AZ47" s="3"/>
      <c r="BA47" s="3"/>
      <c r="BB47" s="3"/>
      <c r="BC47" s="3"/>
      <c r="BD47" s="3"/>
      <c r="BE47" s="3"/>
      <c r="BF47" s="3"/>
      <c r="BG47" s="3"/>
      <c r="BH47" s="3"/>
      <c r="BI47" s="1"/>
      <c r="BJ47" s="3"/>
      <c r="BK47" s="3"/>
      <c r="BL47" s="3"/>
      <c r="BM47" s="3"/>
      <c r="BN47" s="3"/>
      <c r="BO47" s="3"/>
      <c r="BP47" s="3"/>
      <c r="BQ47" s="3"/>
      <c r="BR47" s="3"/>
      <c r="BS47" s="1"/>
      <c r="BT47" s="3"/>
      <c r="BU47" s="3"/>
      <c r="BV47" s="3"/>
      <c r="BW47" s="3"/>
      <c r="BX47" s="3"/>
      <c r="BY47" s="3"/>
      <c r="BZ47" s="3"/>
      <c r="CA47" s="3"/>
      <c r="CB47" s="3"/>
      <c r="CC47" s="1"/>
      <c r="CD47" s="3"/>
      <c r="CE47" s="3"/>
      <c r="CF47" s="3"/>
      <c r="CG47" s="3"/>
      <c r="CH47" s="3"/>
      <c r="CI47" s="3"/>
      <c r="CJ47" s="3"/>
      <c r="CK47" s="3"/>
      <c r="CL47" s="3"/>
      <c r="CM47" s="1"/>
      <c r="CN47" s="3"/>
      <c r="CO47" s="3"/>
      <c r="CP47" s="3"/>
      <c r="CQ47" s="3"/>
      <c r="CR47" s="3"/>
      <c r="CS47" s="3"/>
      <c r="CT47" s="3"/>
      <c r="CU47" s="3"/>
    </row>
    <row x14ac:dyDescent="0.25" r="48" customHeight="1" ht="18">
      <c r="A48" s="1" t="s">
        <v>142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3" t="s">
        <v>112</v>
      </c>
      <c r="Y48" s="3" t="s">
        <v>112</v>
      </c>
      <c r="Z48" s="3" t="s">
        <v>112</v>
      </c>
      <c r="AA48" s="3" t="s">
        <v>112</v>
      </c>
      <c r="AB48" s="3" t="s">
        <v>112</v>
      </c>
      <c r="AC48" s="3" t="s">
        <v>112</v>
      </c>
      <c r="AD48" s="3" t="s">
        <v>112</v>
      </c>
      <c r="AE48" s="1" t="s">
        <v>112</v>
      </c>
      <c r="AF48" s="3" t="s">
        <v>112</v>
      </c>
      <c r="AG48" s="3" t="s">
        <v>112</v>
      </c>
      <c r="AH48" s="3" t="s">
        <v>112</v>
      </c>
      <c r="AI48" s="3"/>
      <c r="AJ48" s="3"/>
      <c r="AK48" s="3"/>
      <c r="AL48" s="3"/>
      <c r="AM48" s="3"/>
      <c r="AN48" s="3"/>
      <c r="AO48" s="1"/>
      <c r="AP48" s="3"/>
      <c r="AQ48" s="3"/>
      <c r="AR48" s="3"/>
      <c r="AS48" s="3"/>
      <c r="AT48" s="3"/>
      <c r="AU48" s="3"/>
      <c r="AV48" s="3"/>
      <c r="AW48" s="3"/>
      <c r="AX48" s="3"/>
      <c r="AY48" s="1"/>
      <c r="AZ48" s="3"/>
      <c r="BA48" s="3"/>
      <c r="BB48" s="3"/>
      <c r="BC48" s="3"/>
      <c r="BD48" s="3"/>
      <c r="BE48" s="3"/>
      <c r="BF48" s="3"/>
      <c r="BG48" s="3"/>
      <c r="BH48" s="3"/>
      <c r="BI48" s="1"/>
      <c r="BJ48" s="3"/>
      <c r="BK48" s="3"/>
      <c r="BL48" s="3"/>
      <c r="BM48" s="3"/>
      <c r="BN48" s="3"/>
      <c r="BO48" s="3"/>
      <c r="BP48" s="3"/>
      <c r="BQ48" s="3"/>
      <c r="BR48" s="3"/>
      <c r="BS48" s="1"/>
      <c r="BT48" s="3"/>
      <c r="BU48" s="3"/>
      <c r="BV48" s="3"/>
      <c r="BW48" s="3"/>
      <c r="BX48" s="3"/>
      <c r="BY48" s="3"/>
      <c r="BZ48" s="3"/>
      <c r="CA48" s="3"/>
      <c r="CB48" s="3"/>
      <c r="CC48" s="1"/>
      <c r="CD48" s="3"/>
      <c r="CE48" s="3"/>
      <c r="CF48" s="3"/>
      <c r="CG48" s="3"/>
      <c r="CH48" s="3"/>
      <c r="CI48" s="3"/>
      <c r="CJ48" s="3"/>
      <c r="CK48" s="3"/>
      <c r="CL48" s="3"/>
      <c r="CM48" s="1"/>
      <c r="CN48" s="3"/>
      <c r="CO48" s="3"/>
      <c r="CP48" s="3"/>
      <c r="CQ48" s="3"/>
      <c r="CR48" s="3"/>
      <c r="CS48" s="3"/>
      <c r="CT48" s="3"/>
      <c r="CU48" s="3"/>
    </row>
    <row x14ac:dyDescent="0.25" r="49" customHeight="1" ht="18">
      <c r="A49" s="1" t="s">
        <v>143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3" t="s">
        <v>112</v>
      </c>
      <c r="Y49" s="3" t="s">
        <v>112</v>
      </c>
      <c r="Z49" s="3" t="s">
        <v>112</v>
      </c>
      <c r="AA49" s="3" t="s">
        <v>112</v>
      </c>
      <c r="AB49" s="3" t="s">
        <v>112</v>
      </c>
      <c r="AC49" s="3" t="s">
        <v>112</v>
      </c>
      <c r="AD49" s="3" t="s">
        <v>112</v>
      </c>
      <c r="AE49" s="1" t="s">
        <v>112</v>
      </c>
      <c r="AF49" s="3" t="s">
        <v>112</v>
      </c>
      <c r="AG49" s="3" t="s">
        <v>112</v>
      </c>
      <c r="AH49" s="3" t="s">
        <v>112</v>
      </c>
      <c r="AI49" s="3"/>
      <c r="AJ49" s="3"/>
      <c r="AK49" s="3"/>
      <c r="AL49" s="3"/>
      <c r="AM49" s="3"/>
      <c r="AN49" s="3"/>
      <c r="AO49" s="1"/>
      <c r="AP49" s="3"/>
      <c r="AQ49" s="3"/>
      <c r="AR49" s="3"/>
      <c r="AS49" s="3"/>
      <c r="AT49" s="3"/>
      <c r="AU49" s="3"/>
      <c r="AV49" s="3"/>
      <c r="AW49" s="3"/>
      <c r="AX49" s="3"/>
      <c r="AY49" s="1"/>
      <c r="AZ49" s="3"/>
      <c r="BA49" s="3"/>
      <c r="BB49" s="3"/>
      <c r="BC49" s="3"/>
      <c r="BD49" s="3"/>
      <c r="BE49" s="3"/>
      <c r="BF49" s="3"/>
      <c r="BG49" s="3"/>
      <c r="BH49" s="3"/>
      <c r="BI49" s="1"/>
      <c r="BJ49" s="3"/>
      <c r="BK49" s="3"/>
      <c r="BL49" s="3"/>
      <c r="BM49" s="3"/>
      <c r="BN49" s="3"/>
      <c r="BO49" s="3"/>
      <c r="BP49" s="3"/>
      <c r="BQ49" s="3"/>
      <c r="BR49" s="3"/>
      <c r="BS49" s="1"/>
      <c r="BT49" s="3"/>
      <c r="BU49" s="3"/>
      <c r="BV49" s="3"/>
      <c r="BW49" s="3"/>
      <c r="BX49" s="3"/>
      <c r="BY49" s="3"/>
      <c r="BZ49" s="3"/>
      <c r="CA49" s="3"/>
      <c r="CB49" s="3"/>
      <c r="CC49" s="1"/>
      <c r="CD49" s="3"/>
      <c r="CE49" s="3"/>
      <c r="CF49" s="3"/>
      <c r="CG49" s="3"/>
      <c r="CH49" s="3"/>
      <c r="CI49" s="3"/>
      <c r="CJ49" s="3"/>
      <c r="CK49" s="3"/>
      <c r="CL49" s="3"/>
      <c r="CM49" s="1"/>
      <c r="CN49" s="3"/>
      <c r="CO49" s="3"/>
      <c r="CP49" s="3"/>
      <c r="CQ49" s="3"/>
      <c r="CR49" s="3"/>
      <c r="CS49" s="3"/>
      <c r="CT49" s="3"/>
      <c r="CU49" s="3"/>
    </row>
    <row x14ac:dyDescent="0.25" r="50" customHeight="1" ht="18">
      <c r="A50" s="1" t="s">
        <v>144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3" t="s">
        <v>112</v>
      </c>
      <c r="Y50" s="3" t="s">
        <v>112</v>
      </c>
      <c r="Z50" s="3" t="s">
        <v>112</v>
      </c>
      <c r="AA50" s="3" t="s">
        <v>112</v>
      </c>
      <c r="AB50" s="3" t="s">
        <v>112</v>
      </c>
      <c r="AC50" s="3" t="s">
        <v>112</v>
      </c>
      <c r="AD50" s="3" t="s">
        <v>112</v>
      </c>
      <c r="AE50" s="1" t="s">
        <v>112</v>
      </c>
      <c r="AF50" s="3" t="s">
        <v>112</v>
      </c>
      <c r="AG50" s="3" t="s">
        <v>112</v>
      </c>
      <c r="AH50" s="3" t="s">
        <v>112</v>
      </c>
      <c r="AI50" s="3"/>
      <c r="AJ50" s="3"/>
      <c r="AK50" s="3"/>
      <c r="AL50" s="3"/>
      <c r="AM50" s="3"/>
      <c r="AN50" s="3"/>
      <c r="AO50" s="1"/>
      <c r="AP50" s="3"/>
      <c r="AQ50" s="3"/>
      <c r="AR50" s="3"/>
      <c r="AS50" s="3"/>
      <c r="AT50" s="3"/>
      <c r="AU50" s="3"/>
      <c r="AV50" s="3"/>
      <c r="AW50" s="3"/>
      <c r="AX50" s="3"/>
      <c r="AY50" s="1"/>
      <c r="AZ50" s="3"/>
      <c r="BA50" s="3"/>
      <c r="BB50" s="3"/>
      <c r="BC50" s="3"/>
      <c r="BD50" s="3"/>
      <c r="BE50" s="3"/>
      <c r="BF50" s="3"/>
      <c r="BG50" s="3"/>
      <c r="BH50" s="3"/>
      <c r="BI50" s="1"/>
      <c r="BJ50" s="3"/>
      <c r="BK50" s="3"/>
      <c r="BL50" s="3"/>
      <c r="BM50" s="3"/>
      <c r="BN50" s="3"/>
      <c r="BO50" s="3"/>
      <c r="BP50" s="3"/>
      <c r="BQ50" s="3"/>
      <c r="BR50" s="3"/>
      <c r="BS50" s="1"/>
      <c r="BT50" s="3"/>
      <c r="BU50" s="3"/>
      <c r="BV50" s="3"/>
      <c r="BW50" s="3"/>
      <c r="BX50" s="3"/>
      <c r="BY50" s="3"/>
      <c r="BZ50" s="3"/>
      <c r="CA50" s="3"/>
      <c r="CB50" s="3"/>
      <c r="CC50" s="1"/>
      <c r="CD50" s="3"/>
      <c r="CE50" s="3"/>
      <c r="CF50" s="3"/>
      <c r="CG50" s="3"/>
      <c r="CH50" s="3"/>
      <c r="CI50" s="3"/>
      <c r="CJ50" s="3"/>
      <c r="CK50" s="3"/>
      <c r="CL50" s="3"/>
      <c r="CM50" s="1"/>
      <c r="CN50" s="3"/>
      <c r="CO50" s="3"/>
      <c r="CP50" s="3"/>
      <c r="CQ50" s="3"/>
      <c r="CR50" s="3"/>
      <c r="CS50" s="3"/>
      <c r="CT50" s="3"/>
      <c r="CU50" s="3"/>
    </row>
    <row x14ac:dyDescent="0.25" r="51" customHeight="1" ht="18">
      <c r="A51" s="1" t="s">
        <v>145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3" t="s">
        <v>112</v>
      </c>
      <c r="Y51" s="3" t="s">
        <v>112</v>
      </c>
      <c r="Z51" s="3" t="s">
        <v>112</v>
      </c>
      <c r="AA51" s="3" t="s">
        <v>112</v>
      </c>
      <c r="AB51" s="3" t="s">
        <v>112</v>
      </c>
      <c r="AC51" s="3" t="s">
        <v>112</v>
      </c>
      <c r="AD51" s="3" t="s">
        <v>112</v>
      </c>
      <c r="AE51" s="1" t="s">
        <v>112</v>
      </c>
      <c r="AF51" s="3" t="s">
        <v>112</v>
      </c>
      <c r="AG51" s="3" t="s">
        <v>112</v>
      </c>
      <c r="AH51" s="3" t="s">
        <v>112</v>
      </c>
      <c r="AI51" s="3"/>
      <c r="AJ51" s="3"/>
      <c r="AK51" s="3"/>
      <c r="AL51" s="3"/>
      <c r="AM51" s="3"/>
      <c r="AN51" s="3"/>
      <c r="AO51" s="1"/>
      <c r="AP51" s="3"/>
      <c r="AQ51" s="3"/>
      <c r="AR51" s="3"/>
      <c r="AS51" s="3"/>
      <c r="AT51" s="3"/>
      <c r="AU51" s="3"/>
      <c r="AV51" s="3"/>
      <c r="AW51" s="3"/>
      <c r="AX51" s="3"/>
      <c r="AY51" s="1"/>
      <c r="AZ51" s="3"/>
      <c r="BA51" s="3"/>
      <c r="BB51" s="3"/>
      <c r="BC51" s="3"/>
      <c r="BD51" s="3"/>
      <c r="BE51" s="3"/>
      <c r="BF51" s="3"/>
      <c r="BG51" s="3"/>
      <c r="BH51" s="3"/>
      <c r="BI51" s="1"/>
      <c r="BJ51" s="3"/>
      <c r="BK51" s="3"/>
      <c r="BL51" s="3"/>
      <c r="BM51" s="3"/>
      <c r="BN51" s="3"/>
      <c r="BO51" s="3"/>
      <c r="BP51" s="3"/>
      <c r="BQ51" s="3"/>
      <c r="BR51" s="3"/>
      <c r="BS51" s="1"/>
      <c r="BT51" s="3"/>
      <c r="BU51" s="3"/>
      <c r="BV51" s="3"/>
      <c r="BW51" s="3"/>
      <c r="BX51" s="3"/>
      <c r="BY51" s="3"/>
      <c r="BZ51" s="3"/>
      <c r="CA51" s="3"/>
      <c r="CB51" s="3"/>
      <c r="CC51" s="1"/>
      <c r="CD51" s="3"/>
      <c r="CE51" s="3"/>
      <c r="CF51" s="3"/>
      <c r="CG51" s="3"/>
      <c r="CH51" s="3"/>
      <c r="CI51" s="3"/>
      <c r="CJ51" s="3"/>
      <c r="CK51" s="3"/>
      <c r="CL51" s="3"/>
      <c r="CM51" s="1"/>
      <c r="CN51" s="3"/>
      <c r="CO51" s="3"/>
      <c r="CP51" s="3"/>
      <c r="CQ51" s="3"/>
      <c r="CR51" s="3"/>
      <c r="CS51" s="3"/>
      <c r="CT51" s="3"/>
      <c r="CU51" s="3"/>
    </row>
    <row x14ac:dyDescent="0.25" r="52" customHeight="1" ht="18">
      <c r="A52" s="1" t="s">
        <v>146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3" t="s">
        <v>112</v>
      </c>
      <c r="Y52" s="3" t="s">
        <v>112</v>
      </c>
      <c r="Z52" s="3" t="s">
        <v>112</v>
      </c>
      <c r="AA52" s="3" t="s">
        <v>112</v>
      </c>
      <c r="AB52" s="3" t="s">
        <v>112</v>
      </c>
      <c r="AC52" s="3" t="s">
        <v>112</v>
      </c>
      <c r="AD52" s="3" t="s">
        <v>112</v>
      </c>
      <c r="AE52" s="1" t="s">
        <v>112</v>
      </c>
      <c r="AF52" s="3" t="s">
        <v>112</v>
      </c>
      <c r="AG52" s="3" t="s">
        <v>112</v>
      </c>
      <c r="AH52" s="3" t="s">
        <v>112</v>
      </c>
      <c r="AI52" s="3"/>
      <c r="AJ52" s="3"/>
      <c r="AK52" s="3"/>
      <c r="AL52" s="3"/>
      <c r="AM52" s="3"/>
      <c r="AN52" s="3"/>
      <c r="AO52" s="1"/>
      <c r="AP52" s="3"/>
      <c r="AQ52" s="3"/>
      <c r="AR52" s="3"/>
      <c r="AS52" s="3"/>
      <c r="AT52" s="3"/>
      <c r="AU52" s="3"/>
      <c r="AV52" s="3"/>
      <c r="AW52" s="3"/>
      <c r="AX52" s="3"/>
      <c r="AY52" s="1"/>
      <c r="AZ52" s="3"/>
      <c r="BA52" s="3"/>
      <c r="BB52" s="3"/>
      <c r="BC52" s="3"/>
      <c r="BD52" s="3"/>
      <c r="BE52" s="3"/>
      <c r="BF52" s="3"/>
      <c r="BG52" s="3"/>
      <c r="BH52" s="3"/>
      <c r="BI52" s="1"/>
      <c r="BJ52" s="3"/>
      <c r="BK52" s="3"/>
      <c r="BL52" s="3"/>
      <c r="BM52" s="3"/>
      <c r="BN52" s="3"/>
      <c r="BO52" s="3"/>
      <c r="BP52" s="3"/>
      <c r="BQ52" s="3"/>
      <c r="BR52" s="3"/>
      <c r="BS52" s="1"/>
      <c r="BT52" s="3"/>
      <c r="BU52" s="3"/>
      <c r="BV52" s="3"/>
      <c r="BW52" s="3"/>
      <c r="BX52" s="3"/>
      <c r="BY52" s="3"/>
      <c r="BZ52" s="3"/>
      <c r="CA52" s="3"/>
      <c r="CB52" s="3"/>
      <c r="CC52" s="1"/>
      <c r="CD52" s="3"/>
      <c r="CE52" s="3"/>
      <c r="CF52" s="3"/>
      <c r="CG52" s="3"/>
      <c r="CH52" s="3"/>
      <c r="CI52" s="3"/>
      <c r="CJ52" s="3"/>
      <c r="CK52" s="3"/>
      <c r="CL52" s="3"/>
      <c r="CM52" s="1"/>
      <c r="CN52" s="3"/>
      <c r="CO52" s="3"/>
      <c r="CP52" s="3"/>
      <c r="CQ52" s="3"/>
      <c r="CR52" s="3"/>
      <c r="CS52" s="3"/>
      <c r="CT52" s="3"/>
      <c r="CU52" s="3"/>
    </row>
    <row x14ac:dyDescent="0.25" r="53" customHeight="1" ht="18">
      <c r="A53" s="1" t="s">
        <v>147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3" t="s">
        <v>112</v>
      </c>
      <c r="Y53" s="3" t="s">
        <v>112</v>
      </c>
      <c r="Z53" s="3" t="s">
        <v>112</v>
      </c>
      <c r="AA53" s="3" t="s">
        <v>112</v>
      </c>
      <c r="AB53" s="3" t="s">
        <v>112</v>
      </c>
      <c r="AC53" s="3" t="s">
        <v>112</v>
      </c>
      <c r="AD53" s="3" t="s">
        <v>112</v>
      </c>
      <c r="AE53" s="1" t="s">
        <v>112</v>
      </c>
      <c r="AF53" s="3" t="s">
        <v>112</v>
      </c>
      <c r="AG53" s="3" t="s">
        <v>112</v>
      </c>
      <c r="AH53" s="3" t="s">
        <v>112</v>
      </c>
      <c r="AI53" s="3"/>
      <c r="AJ53" s="3"/>
      <c r="AK53" s="3"/>
      <c r="AL53" s="3"/>
      <c r="AM53" s="3"/>
      <c r="AN53" s="3"/>
      <c r="AO53" s="1"/>
      <c r="AP53" s="3"/>
      <c r="AQ53" s="3"/>
      <c r="AR53" s="3"/>
      <c r="AS53" s="3"/>
      <c r="AT53" s="3"/>
      <c r="AU53" s="3"/>
      <c r="AV53" s="3"/>
      <c r="AW53" s="3"/>
      <c r="AX53" s="3"/>
      <c r="AY53" s="1"/>
      <c r="AZ53" s="3"/>
      <c r="BA53" s="3"/>
      <c r="BB53" s="3"/>
      <c r="BC53" s="3"/>
      <c r="BD53" s="3"/>
      <c r="BE53" s="3"/>
      <c r="BF53" s="3"/>
      <c r="BG53" s="3"/>
      <c r="BH53" s="3"/>
      <c r="BI53" s="1"/>
      <c r="BJ53" s="3"/>
      <c r="BK53" s="3"/>
      <c r="BL53" s="3"/>
      <c r="BM53" s="3"/>
      <c r="BN53" s="3"/>
      <c r="BO53" s="3"/>
      <c r="BP53" s="3"/>
      <c r="BQ53" s="3"/>
      <c r="BR53" s="3"/>
      <c r="BS53" s="1"/>
      <c r="BT53" s="3"/>
      <c r="BU53" s="3"/>
      <c r="BV53" s="3"/>
      <c r="BW53" s="3"/>
      <c r="BX53" s="3"/>
      <c r="BY53" s="3"/>
      <c r="BZ53" s="3"/>
      <c r="CA53" s="3"/>
      <c r="CB53" s="3"/>
      <c r="CC53" s="1"/>
      <c r="CD53" s="3"/>
      <c r="CE53" s="3"/>
      <c r="CF53" s="3"/>
      <c r="CG53" s="3"/>
      <c r="CH53" s="3"/>
      <c r="CI53" s="3"/>
      <c r="CJ53" s="3"/>
      <c r="CK53" s="3"/>
      <c r="CL53" s="3"/>
      <c r="CM53" s="1"/>
      <c r="CN53" s="3"/>
      <c r="CO53" s="3"/>
      <c r="CP53" s="3"/>
      <c r="CQ53" s="3"/>
      <c r="CR53" s="3"/>
      <c r="CS53" s="3"/>
      <c r="CT53" s="3"/>
      <c r="CU53" s="3"/>
    </row>
    <row x14ac:dyDescent="0.25" r="54" customHeight="1" ht="18">
      <c r="A54" s="1" t="s">
        <v>148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3" t="s">
        <v>112</v>
      </c>
      <c r="Y54" s="3" t="s">
        <v>112</v>
      </c>
      <c r="Z54" s="3" t="s">
        <v>112</v>
      </c>
      <c r="AA54" s="3" t="s">
        <v>112</v>
      </c>
      <c r="AB54" s="3" t="s">
        <v>112</v>
      </c>
      <c r="AC54" s="3" t="s">
        <v>112</v>
      </c>
      <c r="AD54" s="3" t="s">
        <v>112</v>
      </c>
      <c r="AE54" s="1" t="s">
        <v>112</v>
      </c>
      <c r="AF54" s="3" t="s">
        <v>112</v>
      </c>
      <c r="AG54" s="3" t="s">
        <v>112</v>
      </c>
      <c r="AH54" s="3" t="s">
        <v>112</v>
      </c>
      <c r="AI54" s="3"/>
      <c r="AJ54" s="3"/>
      <c r="AK54" s="3"/>
      <c r="AL54" s="3"/>
      <c r="AM54" s="3"/>
      <c r="AN54" s="3"/>
      <c r="AO54" s="1"/>
      <c r="AP54" s="3"/>
      <c r="AQ54" s="3"/>
      <c r="AR54" s="3"/>
      <c r="AS54" s="3"/>
      <c r="AT54" s="3"/>
      <c r="AU54" s="3"/>
      <c r="AV54" s="3"/>
      <c r="AW54" s="3"/>
      <c r="AX54" s="3"/>
      <c r="AY54" s="1"/>
      <c r="AZ54" s="3"/>
      <c r="BA54" s="3"/>
      <c r="BB54" s="3"/>
      <c r="BC54" s="3"/>
      <c r="BD54" s="3"/>
      <c r="BE54" s="3"/>
      <c r="BF54" s="3"/>
      <c r="BG54" s="3"/>
      <c r="BH54" s="3"/>
      <c r="BI54" s="1"/>
      <c r="BJ54" s="3"/>
      <c r="BK54" s="3"/>
      <c r="BL54" s="3"/>
      <c r="BM54" s="3"/>
      <c r="BN54" s="3"/>
      <c r="BO54" s="3"/>
      <c r="BP54" s="3"/>
      <c r="BQ54" s="3"/>
      <c r="BR54" s="3"/>
      <c r="BS54" s="1"/>
      <c r="BT54" s="3"/>
      <c r="BU54" s="3"/>
      <c r="BV54" s="3"/>
      <c r="BW54" s="3"/>
      <c r="BX54" s="3"/>
      <c r="BY54" s="3"/>
      <c r="BZ54" s="3"/>
      <c r="CA54" s="3"/>
      <c r="CB54" s="3"/>
      <c r="CC54" s="1"/>
      <c r="CD54" s="3"/>
      <c r="CE54" s="3"/>
      <c r="CF54" s="3"/>
      <c r="CG54" s="3"/>
      <c r="CH54" s="3"/>
      <c r="CI54" s="3"/>
      <c r="CJ54" s="3"/>
      <c r="CK54" s="3"/>
      <c r="CL54" s="3"/>
      <c r="CM54" s="1"/>
      <c r="CN54" s="3"/>
      <c r="CO54" s="3"/>
      <c r="CP54" s="3"/>
      <c r="CQ54" s="3"/>
      <c r="CR54" s="3"/>
      <c r="CS54" s="3"/>
      <c r="CT54" s="3"/>
      <c r="CU54" s="3"/>
    </row>
    <row x14ac:dyDescent="0.25" r="55" customHeight="1" ht="18">
      <c r="A55" s="1" t="s">
        <v>149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3" t="s">
        <v>112</v>
      </c>
      <c r="Y55" s="3" t="s">
        <v>112</v>
      </c>
      <c r="Z55" s="3" t="s">
        <v>112</v>
      </c>
      <c r="AA55" s="3" t="s">
        <v>112</v>
      </c>
      <c r="AB55" s="3" t="s">
        <v>112</v>
      </c>
      <c r="AC55" s="3" t="s">
        <v>112</v>
      </c>
      <c r="AD55" s="3" t="s">
        <v>112</v>
      </c>
      <c r="AE55" s="1" t="s">
        <v>112</v>
      </c>
      <c r="AF55" s="3" t="s">
        <v>112</v>
      </c>
      <c r="AG55" s="3" t="s">
        <v>112</v>
      </c>
      <c r="AH55" s="3" t="s">
        <v>112</v>
      </c>
      <c r="AI55" s="3"/>
      <c r="AJ55" s="3"/>
      <c r="AK55" s="3"/>
      <c r="AL55" s="3"/>
      <c r="AM55" s="3"/>
      <c r="AN55" s="3"/>
      <c r="AO55" s="1"/>
      <c r="AP55" s="3"/>
      <c r="AQ55" s="3"/>
      <c r="AR55" s="3"/>
      <c r="AS55" s="3"/>
      <c r="AT55" s="3"/>
      <c r="AU55" s="3"/>
      <c r="AV55" s="3"/>
      <c r="AW55" s="3"/>
      <c r="AX55" s="3"/>
      <c r="AY55" s="1"/>
      <c r="AZ55" s="3"/>
      <c r="BA55" s="3"/>
      <c r="BB55" s="3"/>
      <c r="BC55" s="3"/>
      <c r="BD55" s="3"/>
      <c r="BE55" s="3"/>
      <c r="BF55" s="3"/>
      <c r="BG55" s="3"/>
      <c r="BH55" s="3"/>
      <c r="BI55" s="1"/>
      <c r="BJ55" s="3"/>
      <c r="BK55" s="3"/>
      <c r="BL55" s="3"/>
      <c r="BM55" s="3"/>
      <c r="BN55" s="3"/>
      <c r="BO55" s="3"/>
      <c r="BP55" s="3"/>
      <c r="BQ55" s="3"/>
      <c r="BR55" s="3"/>
      <c r="BS55" s="1"/>
      <c r="BT55" s="3"/>
      <c r="BU55" s="3"/>
      <c r="BV55" s="3"/>
      <c r="BW55" s="3"/>
      <c r="BX55" s="3"/>
      <c r="BY55" s="3"/>
      <c r="BZ55" s="3"/>
      <c r="CA55" s="3"/>
      <c r="CB55" s="3"/>
      <c r="CC55" s="1"/>
      <c r="CD55" s="3"/>
      <c r="CE55" s="3"/>
      <c r="CF55" s="3"/>
      <c r="CG55" s="3"/>
      <c r="CH55" s="3"/>
      <c r="CI55" s="3"/>
      <c r="CJ55" s="3"/>
      <c r="CK55" s="3"/>
      <c r="CL55" s="3"/>
      <c r="CM55" s="1"/>
      <c r="CN55" s="3"/>
      <c r="CO55" s="3"/>
      <c r="CP55" s="3"/>
      <c r="CQ55" s="3"/>
      <c r="CR55" s="3"/>
      <c r="CS55" s="3"/>
      <c r="CT55" s="3"/>
      <c r="CU55" s="3"/>
    </row>
    <row x14ac:dyDescent="0.25" r="56" customHeight="1" ht="18">
      <c r="A56" s="1" t="s">
        <v>150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3" t="s">
        <v>112</v>
      </c>
      <c r="Y56" s="3" t="s">
        <v>112</v>
      </c>
      <c r="Z56" s="3" t="s">
        <v>112</v>
      </c>
      <c r="AA56" s="3" t="s">
        <v>112</v>
      </c>
      <c r="AB56" s="3" t="s">
        <v>112</v>
      </c>
      <c r="AC56" s="3" t="s">
        <v>112</v>
      </c>
      <c r="AD56" s="3" t="s">
        <v>112</v>
      </c>
      <c r="AE56" s="1" t="s">
        <v>112</v>
      </c>
      <c r="AF56" s="3" t="s">
        <v>112</v>
      </c>
      <c r="AG56" s="3" t="s">
        <v>112</v>
      </c>
      <c r="AH56" s="3" t="s">
        <v>112</v>
      </c>
      <c r="AI56" s="3"/>
      <c r="AJ56" s="3"/>
      <c r="AK56" s="3"/>
      <c r="AL56" s="3"/>
      <c r="AM56" s="3"/>
      <c r="AN56" s="3"/>
      <c r="AO56" s="1"/>
      <c r="AP56" s="3"/>
      <c r="AQ56" s="3"/>
      <c r="AR56" s="3"/>
      <c r="AS56" s="3"/>
      <c r="AT56" s="3"/>
      <c r="AU56" s="3"/>
      <c r="AV56" s="3"/>
      <c r="AW56" s="3"/>
      <c r="AX56" s="3"/>
      <c r="AY56" s="1"/>
      <c r="AZ56" s="3"/>
      <c r="BA56" s="3"/>
      <c r="BB56" s="3"/>
      <c r="BC56" s="3"/>
      <c r="BD56" s="3"/>
      <c r="BE56" s="3"/>
      <c r="BF56" s="3"/>
      <c r="BG56" s="3"/>
      <c r="BH56" s="3"/>
      <c r="BI56" s="1"/>
      <c r="BJ56" s="3"/>
      <c r="BK56" s="3"/>
      <c r="BL56" s="3"/>
      <c r="BM56" s="3"/>
      <c r="BN56" s="3"/>
      <c r="BO56" s="3"/>
      <c r="BP56" s="3"/>
      <c r="BQ56" s="3"/>
      <c r="BR56" s="3"/>
      <c r="BS56" s="1"/>
      <c r="BT56" s="3"/>
      <c r="BU56" s="3"/>
      <c r="BV56" s="3"/>
      <c r="BW56" s="3"/>
      <c r="BX56" s="3"/>
      <c r="BY56" s="3"/>
      <c r="BZ56" s="3"/>
      <c r="CA56" s="3"/>
      <c r="CB56" s="3"/>
      <c r="CC56" s="1"/>
      <c r="CD56" s="3"/>
      <c r="CE56" s="3"/>
      <c r="CF56" s="3"/>
      <c r="CG56" s="3"/>
      <c r="CH56" s="3"/>
      <c r="CI56" s="3"/>
      <c r="CJ56" s="3"/>
      <c r="CK56" s="3"/>
      <c r="CL56" s="3"/>
      <c r="CM56" s="1"/>
      <c r="CN56" s="3"/>
      <c r="CO56" s="3"/>
      <c r="CP56" s="3"/>
      <c r="CQ56" s="3"/>
      <c r="CR56" s="3"/>
      <c r="CS56" s="3"/>
      <c r="CT56" s="3"/>
      <c r="CU56" s="3"/>
    </row>
    <row x14ac:dyDescent="0.25" r="57" customHeight="1" ht="18">
      <c r="A57" s="1" t="s">
        <v>151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3" t="s">
        <v>112</v>
      </c>
      <c r="Y57" s="3" t="s">
        <v>112</v>
      </c>
      <c r="Z57" s="3" t="s">
        <v>112</v>
      </c>
      <c r="AA57" s="3" t="s">
        <v>112</v>
      </c>
      <c r="AB57" s="3" t="s">
        <v>112</v>
      </c>
      <c r="AC57" s="3" t="s">
        <v>112</v>
      </c>
      <c r="AD57" s="3" t="s">
        <v>112</v>
      </c>
      <c r="AE57" s="1" t="s">
        <v>112</v>
      </c>
      <c r="AF57" s="3" t="s">
        <v>112</v>
      </c>
      <c r="AG57" s="3" t="s">
        <v>112</v>
      </c>
      <c r="AH57" s="3" t="s">
        <v>112</v>
      </c>
      <c r="AI57" s="3"/>
      <c r="AJ57" s="3"/>
      <c r="AK57" s="3"/>
      <c r="AL57" s="3"/>
      <c r="AM57" s="3"/>
      <c r="AN57" s="3"/>
      <c r="AO57" s="1"/>
      <c r="AP57" s="3"/>
      <c r="AQ57" s="3"/>
      <c r="AR57" s="3"/>
      <c r="AS57" s="3"/>
      <c r="AT57" s="3"/>
      <c r="AU57" s="3"/>
      <c r="AV57" s="3"/>
      <c r="AW57" s="3"/>
      <c r="AX57" s="3"/>
      <c r="AY57" s="1"/>
      <c r="AZ57" s="3"/>
      <c r="BA57" s="3"/>
      <c r="BB57" s="3"/>
      <c r="BC57" s="3"/>
      <c r="BD57" s="3"/>
      <c r="BE57" s="3"/>
      <c r="BF57" s="3"/>
      <c r="BG57" s="3"/>
      <c r="BH57" s="3"/>
      <c r="BI57" s="1"/>
      <c r="BJ57" s="3"/>
      <c r="BK57" s="3"/>
      <c r="BL57" s="3"/>
      <c r="BM57" s="3"/>
      <c r="BN57" s="3"/>
      <c r="BO57" s="3"/>
      <c r="BP57" s="3"/>
      <c r="BQ57" s="3"/>
      <c r="BR57" s="3"/>
      <c r="BS57" s="1"/>
      <c r="BT57" s="3"/>
      <c r="BU57" s="3"/>
      <c r="BV57" s="3"/>
      <c r="BW57" s="3"/>
      <c r="BX57" s="3"/>
      <c r="BY57" s="3"/>
      <c r="BZ57" s="3"/>
      <c r="CA57" s="3"/>
      <c r="CB57" s="3"/>
      <c r="CC57" s="1"/>
      <c r="CD57" s="3"/>
      <c r="CE57" s="3"/>
      <c r="CF57" s="3"/>
      <c r="CG57" s="3"/>
      <c r="CH57" s="3"/>
      <c r="CI57" s="3"/>
      <c r="CJ57" s="3"/>
      <c r="CK57" s="3"/>
      <c r="CL57" s="3"/>
      <c r="CM57" s="1"/>
      <c r="CN57" s="3"/>
      <c r="CO57" s="3"/>
      <c r="CP57" s="3"/>
      <c r="CQ57" s="3"/>
      <c r="CR57" s="3"/>
      <c r="CS57" s="3"/>
      <c r="CT57" s="3"/>
      <c r="CU57" s="3"/>
    </row>
    <row x14ac:dyDescent="0.25" r="58" customHeight="1" ht="18">
      <c r="A58" s="1" t="s">
        <v>152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3" t="s">
        <v>112</v>
      </c>
      <c r="Y58" s="3" t="s">
        <v>112</v>
      </c>
      <c r="Z58" s="3" t="s">
        <v>112</v>
      </c>
      <c r="AA58" s="3" t="s">
        <v>112</v>
      </c>
      <c r="AB58" s="3" t="s">
        <v>112</v>
      </c>
      <c r="AC58" s="3" t="s">
        <v>112</v>
      </c>
      <c r="AD58" s="3" t="s">
        <v>112</v>
      </c>
      <c r="AE58" s="1" t="s">
        <v>112</v>
      </c>
      <c r="AF58" s="3" t="s">
        <v>112</v>
      </c>
      <c r="AG58" s="3" t="s">
        <v>112</v>
      </c>
      <c r="AH58" s="3" t="s">
        <v>112</v>
      </c>
      <c r="AI58" s="3"/>
      <c r="AJ58" s="3"/>
      <c r="AK58" s="3"/>
      <c r="AL58" s="3"/>
      <c r="AM58" s="3"/>
      <c r="AN58" s="3"/>
      <c r="AO58" s="1"/>
      <c r="AP58" s="3"/>
      <c r="AQ58" s="3"/>
      <c r="AR58" s="3"/>
      <c r="AS58" s="3"/>
      <c r="AT58" s="3"/>
      <c r="AU58" s="3"/>
      <c r="AV58" s="3"/>
      <c r="AW58" s="3"/>
      <c r="AX58" s="3"/>
      <c r="AY58" s="1"/>
      <c r="AZ58" s="3"/>
      <c r="BA58" s="3"/>
      <c r="BB58" s="3"/>
      <c r="BC58" s="3"/>
      <c r="BD58" s="3"/>
      <c r="BE58" s="3"/>
      <c r="BF58" s="3"/>
      <c r="BG58" s="3"/>
      <c r="BH58" s="3"/>
      <c r="BI58" s="1"/>
      <c r="BJ58" s="3"/>
      <c r="BK58" s="3"/>
      <c r="BL58" s="3"/>
      <c r="BM58" s="3"/>
      <c r="BN58" s="3"/>
      <c r="BO58" s="3"/>
      <c r="BP58" s="3"/>
      <c r="BQ58" s="3"/>
      <c r="BR58" s="3"/>
      <c r="BS58" s="1"/>
      <c r="BT58" s="3"/>
      <c r="BU58" s="3"/>
      <c r="BV58" s="3"/>
      <c r="BW58" s="3"/>
      <c r="BX58" s="3"/>
      <c r="BY58" s="3"/>
      <c r="BZ58" s="3"/>
      <c r="CA58" s="3"/>
      <c r="CB58" s="3"/>
      <c r="CC58" s="1"/>
      <c r="CD58" s="3"/>
      <c r="CE58" s="3"/>
      <c r="CF58" s="3"/>
      <c r="CG58" s="3"/>
      <c r="CH58" s="3"/>
      <c r="CI58" s="3"/>
      <c r="CJ58" s="3"/>
      <c r="CK58" s="3"/>
      <c r="CL58" s="3"/>
      <c r="CM58" s="1"/>
      <c r="CN58" s="3"/>
      <c r="CO58" s="3"/>
      <c r="CP58" s="3"/>
      <c r="CQ58" s="3"/>
      <c r="CR58" s="3"/>
      <c r="CS58" s="3"/>
      <c r="CT58" s="3"/>
      <c r="CU58" s="3"/>
    </row>
    <row x14ac:dyDescent="0.25" r="59" customHeight="1" ht="18">
      <c r="A59" s="1" t="s">
        <v>153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3" t="s">
        <v>112</v>
      </c>
      <c r="Y59" s="3" t="s">
        <v>112</v>
      </c>
      <c r="Z59" s="3" t="s">
        <v>112</v>
      </c>
      <c r="AA59" s="3" t="s">
        <v>112</v>
      </c>
      <c r="AB59" s="3" t="s">
        <v>112</v>
      </c>
      <c r="AC59" s="3" t="s">
        <v>112</v>
      </c>
      <c r="AD59" s="3" t="s">
        <v>112</v>
      </c>
      <c r="AE59" s="1" t="s">
        <v>112</v>
      </c>
      <c r="AF59" s="3" t="s">
        <v>112</v>
      </c>
      <c r="AG59" s="3" t="s">
        <v>112</v>
      </c>
      <c r="AH59" s="3" t="s">
        <v>112</v>
      </c>
      <c r="AI59" s="3"/>
      <c r="AJ59" s="3"/>
      <c r="AK59" s="3"/>
      <c r="AL59" s="3"/>
      <c r="AM59" s="3"/>
      <c r="AN59" s="3"/>
      <c r="AO59" s="1"/>
      <c r="AP59" s="3"/>
      <c r="AQ59" s="3"/>
      <c r="AR59" s="3"/>
      <c r="AS59" s="3"/>
      <c r="AT59" s="3"/>
      <c r="AU59" s="3"/>
      <c r="AV59" s="3"/>
      <c r="AW59" s="3"/>
      <c r="AX59" s="3"/>
      <c r="AY59" s="1"/>
      <c r="AZ59" s="3"/>
      <c r="BA59" s="3"/>
      <c r="BB59" s="3"/>
      <c r="BC59" s="3"/>
      <c r="BD59" s="3"/>
      <c r="BE59" s="3"/>
      <c r="BF59" s="3"/>
      <c r="BG59" s="3"/>
      <c r="BH59" s="3"/>
      <c r="BI59" s="1"/>
      <c r="BJ59" s="3"/>
      <c r="BK59" s="3"/>
      <c r="BL59" s="3"/>
      <c r="BM59" s="3"/>
      <c r="BN59" s="3"/>
      <c r="BO59" s="3"/>
      <c r="BP59" s="3"/>
      <c r="BQ59" s="3"/>
      <c r="BR59" s="3"/>
      <c r="BS59" s="1"/>
      <c r="BT59" s="3"/>
      <c r="BU59" s="3"/>
      <c r="BV59" s="3"/>
      <c r="BW59" s="3"/>
      <c r="BX59" s="3"/>
      <c r="BY59" s="3"/>
      <c r="BZ59" s="3"/>
      <c r="CA59" s="3"/>
      <c r="CB59" s="3"/>
      <c r="CC59" s="1"/>
      <c r="CD59" s="3"/>
      <c r="CE59" s="3"/>
      <c r="CF59" s="3"/>
      <c r="CG59" s="3"/>
      <c r="CH59" s="3"/>
      <c r="CI59" s="3"/>
      <c r="CJ59" s="3"/>
      <c r="CK59" s="3"/>
      <c r="CL59" s="3"/>
      <c r="CM59" s="1"/>
      <c r="CN59" s="3"/>
      <c r="CO59" s="3"/>
      <c r="CP59" s="3"/>
      <c r="CQ59" s="3"/>
      <c r="CR59" s="3"/>
      <c r="CS59" s="3"/>
      <c r="CT59" s="3"/>
      <c r="CU59" s="3"/>
    </row>
    <row x14ac:dyDescent="0.25" r="60" customHeight="1" ht="18">
      <c r="A60" s="1" t="s">
        <v>154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3" t="s">
        <v>112</v>
      </c>
      <c r="Y60" s="3" t="s">
        <v>112</v>
      </c>
      <c r="Z60" s="3" t="s">
        <v>112</v>
      </c>
      <c r="AA60" s="3" t="s">
        <v>112</v>
      </c>
      <c r="AB60" s="3" t="s">
        <v>112</v>
      </c>
      <c r="AC60" s="3" t="s">
        <v>112</v>
      </c>
      <c r="AD60" s="3" t="s">
        <v>112</v>
      </c>
      <c r="AE60" s="1" t="s">
        <v>112</v>
      </c>
      <c r="AF60" s="3" t="s">
        <v>112</v>
      </c>
      <c r="AG60" s="3" t="s">
        <v>112</v>
      </c>
      <c r="AH60" s="3" t="s">
        <v>112</v>
      </c>
      <c r="AI60" s="3"/>
      <c r="AJ60" s="3"/>
      <c r="AK60" s="3"/>
      <c r="AL60" s="3"/>
      <c r="AM60" s="3"/>
      <c r="AN60" s="3"/>
      <c r="AO60" s="1"/>
      <c r="AP60" s="3"/>
      <c r="AQ60" s="3"/>
      <c r="AR60" s="3"/>
      <c r="AS60" s="3"/>
      <c r="AT60" s="3"/>
      <c r="AU60" s="3"/>
      <c r="AV60" s="3"/>
      <c r="AW60" s="3"/>
      <c r="AX60" s="3"/>
      <c r="AY60" s="1"/>
      <c r="AZ60" s="3"/>
      <c r="BA60" s="3"/>
      <c r="BB60" s="3"/>
      <c r="BC60" s="3"/>
      <c r="BD60" s="3"/>
      <c r="BE60" s="3"/>
      <c r="BF60" s="3"/>
      <c r="BG60" s="3"/>
      <c r="BH60" s="3"/>
      <c r="BI60" s="1"/>
      <c r="BJ60" s="3"/>
      <c r="BK60" s="3"/>
      <c r="BL60" s="3"/>
      <c r="BM60" s="3"/>
      <c r="BN60" s="3"/>
      <c r="BO60" s="3"/>
      <c r="BP60" s="3"/>
      <c r="BQ60" s="3"/>
      <c r="BR60" s="3"/>
      <c r="BS60" s="1"/>
      <c r="BT60" s="3"/>
      <c r="BU60" s="3"/>
      <c r="BV60" s="3"/>
      <c r="BW60" s="3"/>
      <c r="BX60" s="3"/>
      <c r="BY60" s="3"/>
      <c r="BZ60" s="3"/>
      <c r="CA60" s="3"/>
      <c r="CB60" s="3"/>
      <c r="CC60" s="1"/>
      <c r="CD60" s="3"/>
      <c r="CE60" s="3"/>
      <c r="CF60" s="3"/>
      <c r="CG60" s="3"/>
      <c r="CH60" s="3"/>
      <c r="CI60" s="3"/>
      <c r="CJ60" s="3"/>
      <c r="CK60" s="3"/>
      <c r="CL60" s="3"/>
      <c r="CM60" s="1"/>
      <c r="CN60" s="3"/>
      <c r="CO60" s="3"/>
      <c r="CP60" s="3"/>
      <c r="CQ60" s="3"/>
      <c r="CR60" s="3"/>
      <c r="CS60" s="3"/>
      <c r="CT60" s="3"/>
      <c r="CU60" s="3"/>
    </row>
    <row x14ac:dyDescent="0.25" r="61" customHeight="1" ht="18">
      <c r="A61" s="1" t="s">
        <v>155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3" t="s">
        <v>112</v>
      </c>
      <c r="Y61" s="3" t="s">
        <v>112</v>
      </c>
      <c r="Z61" s="3" t="s">
        <v>112</v>
      </c>
      <c r="AA61" s="3" t="s">
        <v>112</v>
      </c>
      <c r="AB61" s="3" t="s">
        <v>112</v>
      </c>
      <c r="AC61" s="3" t="s">
        <v>112</v>
      </c>
      <c r="AD61" s="3" t="s">
        <v>112</v>
      </c>
      <c r="AE61" s="1" t="s">
        <v>112</v>
      </c>
      <c r="AF61" s="3" t="s">
        <v>112</v>
      </c>
      <c r="AG61" s="3" t="s">
        <v>112</v>
      </c>
      <c r="AH61" s="3" t="s">
        <v>112</v>
      </c>
      <c r="AI61" s="3"/>
      <c r="AJ61" s="3"/>
      <c r="AK61" s="3"/>
      <c r="AL61" s="3"/>
      <c r="AM61" s="3"/>
      <c r="AN61" s="3"/>
      <c r="AO61" s="1"/>
      <c r="AP61" s="3"/>
      <c r="AQ61" s="3"/>
      <c r="AR61" s="3"/>
      <c r="AS61" s="3"/>
      <c r="AT61" s="3"/>
      <c r="AU61" s="3"/>
      <c r="AV61" s="3"/>
      <c r="AW61" s="3"/>
      <c r="AX61" s="3"/>
      <c r="AY61" s="1"/>
      <c r="AZ61" s="3"/>
      <c r="BA61" s="3"/>
      <c r="BB61" s="3"/>
      <c r="BC61" s="3"/>
      <c r="BD61" s="3"/>
      <c r="BE61" s="3"/>
      <c r="BF61" s="3"/>
      <c r="BG61" s="3"/>
      <c r="BH61" s="3"/>
      <c r="BI61" s="1"/>
      <c r="BJ61" s="3"/>
      <c r="BK61" s="3"/>
      <c r="BL61" s="3"/>
      <c r="BM61" s="3"/>
      <c r="BN61" s="3"/>
      <c r="BO61" s="3"/>
      <c r="BP61" s="3"/>
      <c r="BQ61" s="3"/>
      <c r="BR61" s="3"/>
      <c r="BS61" s="1"/>
      <c r="BT61" s="3"/>
      <c r="BU61" s="3"/>
      <c r="BV61" s="3"/>
      <c r="BW61" s="3"/>
      <c r="BX61" s="3"/>
      <c r="BY61" s="3"/>
      <c r="BZ61" s="3"/>
      <c r="CA61" s="3"/>
      <c r="CB61" s="3"/>
      <c r="CC61" s="1"/>
      <c r="CD61" s="3"/>
      <c r="CE61" s="3"/>
      <c r="CF61" s="3"/>
      <c r="CG61" s="3"/>
      <c r="CH61" s="3"/>
      <c r="CI61" s="3"/>
      <c r="CJ61" s="3"/>
      <c r="CK61" s="3"/>
      <c r="CL61" s="3"/>
      <c r="CM61" s="1"/>
      <c r="CN61" s="3"/>
      <c r="CO61" s="3"/>
      <c r="CP61" s="3"/>
      <c r="CQ61" s="3"/>
      <c r="CR61" s="3"/>
      <c r="CS61" s="3"/>
      <c r="CT61" s="3"/>
      <c r="CU61" s="3"/>
    </row>
    <row x14ac:dyDescent="0.25" r="62" customHeight="1" ht="18">
      <c r="A62" s="1" t="s">
        <v>156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3" t="s">
        <v>112</v>
      </c>
      <c r="Y62" s="3" t="s">
        <v>112</v>
      </c>
      <c r="Z62" s="3" t="s">
        <v>112</v>
      </c>
      <c r="AA62" s="3" t="s">
        <v>112</v>
      </c>
      <c r="AB62" s="3" t="s">
        <v>112</v>
      </c>
      <c r="AC62" s="3" t="s">
        <v>112</v>
      </c>
      <c r="AD62" s="3" t="s">
        <v>112</v>
      </c>
      <c r="AE62" s="1" t="s">
        <v>112</v>
      </c>
      <c r="AF62" s="3" t="s">
        <v>112</v>
      </c>
      <c r="AG62" s="3" t="s">
        <v>112</v>
      </c>
      <c r="AH62" s="3" t="s">
        <v>112</v>
      </c>
      <c r="AI62" s="3"/>
      <c r="AJ62" s="3"/>
      <c r="AK62" s="3"/>
      <c r="AL62" s="3"/>
      <c r="AM62" s="3"/>
      <c r="AN62" s="3"/>
      <c r="AO62" s="1"/>
      <c r="AP62" s="3"/>
      <c r="AQ62" s="3"/>
      <c r="AR62" s="3"/>
      <c r="AS62" s="3"/>
      <c r="AT62" s="3"/>
      <c r="AU62" s="3"/>
      <c r="AV62" s="3"/>
      <c r="AW62" s="3"/>
      <c r="AX62" s="3"/>
      <c r="AY62" s="1"/>
      <c r="AZ62" s="3"/>
      <c r="BA62" s="3"/>
      <c r="BB62" s="3"/>
      <c r="BC62" s="3"/>
      <c r="BD62" s="3"/>
      <c r="BE62" s="3"/>
      <c r="BF62" s="3"/>
      <c r="BG62" s="3"/>
      <c r="BH62" s="3"/>
      <c r="BI62" s="1"/>
      <c r="BJ62" s="3"/>
      <c r="BK62" s="3"/>
      <c r="BL62" s="3"/>
      <c r="BM62" s="3"/>
      <c r="BN62" s="3"/>
      <c r="BO62" s="3"/>
      <c r="BP62" s="3"/>
      <c r="BQ62" s="3"/>
      <c r="BR62" s="3"/>
      <c r="BS62" s="1"/>
      <c r="BT62" s="3"/>
      <c r="BU62" s="3"/>
      <c r="BV62" s="3"/>
      <c r="BW62" s="3"/>
      <c r="BX62" s="3"/>
      <c r="BY62" s="3"/>
      <c r="BZ62" s="3"/>
      <c r="CA62" s="3"/>
      <c r="CB62" s="3"/>
      <c r="CC62" s="1"/>
      <c r="CD62" s="3"/>
      <c r="CE62" s="3"/>
      <c r="CF62" s="3"/>
      <c r="CG62" s="3"/>
      <c r="CH62" s="3"/>
      <c r="CI62" s="3"/>
      <c r="CJ62" s="3"/>
      <c r="CK62" s="3"/>
      <c r="CL62" s="3"/>
      <c r="CM62" s="1"/>
      <c r="CN62" s="3"/>
      <c r="CO62" s="3"/>
      <c r="CP62" s="3"/>
      <c r="CQ62" s="3"/>
      <c r="CR62" s="3"/>
      <c r="CS62" s="3"/>
      <c r="CT62" s="3"/>
      <c r="CU62" s="3"/>
    </row>
    <row x14ac:dyDescent="0.25" r="63" customHeight="1" ht="18">
      <c r="A63" s="1" t="s">
        <v>157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3" t="s">
        <v>112</v>
      </c>
      <c r="Y63" s="3" t="s">
        <v>112</v>
      </c>
      <c r="Z63" s="3" t="s">
        <v>112</v>
      </c>
      <c r="AA63" s="3" t="s">
        <v>112</v>
      </c>
      <c r="AB63" s="3" t="s">
        <v>112</v>
      </c>
      <c r="AC63" s="3" t="s">
        <v>112</v>
      </c>
      <c r="AD63" s="3" t="s">
        <v>112</v>
      </c>
      <c r="AE63" s="1" t="s">
        <v>112</v>
      </c>
      <c r="AF63" s="3" t="s">
        <v>112</v>
      </c>
      <c r="AG63" s="3" t="s">
        <v>112</v>
      </c>
      <c r="AH63" s="3" t="s">
        <v>112</v>
      </c>
      <c r="AI63" s="3"/>
      <c r="AJ63" s="3"/>
      <c r="AK63" s="3"/>
      <c r="AL63" s="3"/>
      <c r="AM63" s="3"/>
      <c r="AN63" s="3"/>
      <c r="AO63" s="1"/>
      <c r="AP63" s="3"/>
      <c r="AQ63" s="3"/>
      <c r="AR63" s="3"/>
      <c r="AS63" s="3"/>
      <c r="AT63" s="3"/>
      <c r="AU63" s="3"/>
      <c r="AV63" s="3"/>
      <c r="AW63" s="3"/>
      <c r="AX63" s="3"/>
      <c r="AY63" s="1"/>
      <c r="AZ63" s="3"/>
      <c r="BA63" s="3"/>
      <c r="BB63" s="3"/>
      <c r="BC63" s="3"/>
      <c r="BD63" s="3"/>
      <c r="BE63" s="3"/>
      <c r="BF63" s="3"/>
      <c r="BG63" s="3"/>
      <c r="BH63" s="3"/>
      <c r="BI63" s="1"/>
      <c r="BJ63" s="3"/>
      <c r="BK63" s="3"/>
      <c r="BL63" s="3"/>
      <c r="BM63" s="3"/>
      <c r="BN63" s="3"/>
      <c r="BO63" s="3"/>
      <c r="BP63" s="3"/>
      <c r="BQ63" s="3"/>
      <c r="BR63" s="3"/>
      <c r="BS63" s="1"/>
      <c r="BT63" s="3"/>
      <c r="BU63" s="3"/>
      <c r="BV63" s="3"/>
      <c r="BW63" s="3"/>
      <c r="BX63" s="3"/>
      <c r="BY63" s="3"/>
      <c r="BZ63" s="3"/>
      <c r="CA63" s="3"/>
      <c r="CB63" s="3"/>
      <c r="CC63" s="1"/>
      <c r="CD63" s="3"/>
      <c r="CE63" s="3"/>
      <c r="CF63" s="3"/>
      <c r="CG63" s="3"/>
      <c r="CH63" s="3"/>
      <c r="CI63" s="3"/>
      <c r="CJ63" s="3"/>
      <c r="CK63" s="3"/>
      <c r="CL63" s="3"/>
      <c r="CM63" s="1"/>
      <c r="CN63" s="3"/>
      <c r="CO63" s="3"/>
      <c r="CP63" s="3"/>
      <c r="CQ63" s="3"/>
      <c r="CR63" s="3"/>
      <c r="CS63" s="3"/>
      <c r="CT63" s="3"/>
      <c r="CU63" s="3"/>
    </row>
    <row x14ac:dyDescent="0.25" r="64" customHeight="1" ht="18">
      <c r="A64" s="1" t="s">
        <v>158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3" t="s">
        <v>112</v>
      </c>
      <c r="Y64" s="3" t="s">
        <v>112</v>
      </c>
      <c r="Z64" s="3" t="s">
        <v>112</v>
      </c>
      <c r="AA64" s="3" t="s">
        <v>112</v>
      </c>
      <c r="AB64" s="3" t="s">
        <v>112</v>
      </c>
      <c r="AC64" s="3" t="s">
        <v>112</v>
      </c>
      <c r="AD64" s="3" t="s">
        <v>112</v>
      </c>
      <c r="AE64" s="1" t="s">
        <v>112</v>
      </c>
      <c r="AF64" s="3" t="s">
        <v>112</v>
      </c>
      <c r="AG64" s="3" t="s">
        <v>112</v>
      </c>
      <c r="AH64" s="3" t="s">
        <v>112</v>
      </c>
      <c r="AI64" s="3"/>
      <c r="AJ64" s="3"/>
      <c r="AK64" s="3"/>
      <c r="AL64" s="3"/>
      <c r="AM64" s="3"/>
      <c r="AN64" s="3"/>
      <c r="AO64" s="1"/>
      <c r="AP64" s="3"/>
      <c r="AQ64" s="3"/>
      <c r="AR64" s="3"/>
      <c r="AS64" s="3"/>
      <c r="AT64" s="3"/>
      <c r="AU64" s="3"/>
      <c r="AV64" s="3"/>
      <c r="AW64" s="3"/>
      <c r="AX64" s="3"/>
      <c r="AY64" s="1"/>
      <c r="AZ64" s="3"/>
      <c r="BA64" s="3"/>
      <c r="BB64" s="3"/>
      <c r="BC64" s="3"/>
      <c r="BD64" s="3"/>
      <c r="BE64" s="3"/>
      <c r="BF64" s="3"/>
      <c r="BG64" s="3"/>
      <c r="BH64" s="3"/>
      <c r="BI64" s="1"/>
      <c r="BJ64" s="3"/>
      <c r="BK64" s="3"/>
      <c r="BL64" s="3"/>
      <c r="BM64" s="3"/>
      <c r="BN64" s="3"/>
      <c r="BO64" s="3"/>
      <c r="BP64" s="3"/>
      <c r="BQ64" s="3"/>
      <c r="BR64" s="3"/>
      <c r="BS64" s="1"/>
      <c r="BT64" s="3"/>
      <c r="BU64" s="3"/>
      <c r="BV64" s="3"/>
      <c r="BW64" s="3"/>
      <c r="BX64" s="3"/>
      <c r="BY64" s="3"/>
      <c r="BZ64" s="3"/>
      <c r="CA64" s="3"/>
      <c r="CB64" s="3"/>
      <c r="CC64" s="1"/>
      <c r="CD64" s="3"/>
      <c r="CE64" s="3"/>
      <c r="CF64" s="3"/>
      <c r="CG64" s="3"/>
      <c r="CH64" s="3"/>
      <c r="CI64" s="3"/>
      <c r="CJ64" s="3"/>
      <c r="CK64" s="3"/>
      <c r="CL64" s="3"/>
      <c r="CM64" s="1"/>
      <c r="CN64" s="3"/>
      <c r="CO64" s="3"/>
      <c r="CP64" s="3"/>
      <c r="CQ64" s="3"/>
      <c r="CR64" s="3"/>
      <c r="CS64" s="3"/>
      <c r="CT64" s="3"/>
      <c r="CU64" s="3"/>
    </row>
    <row x14ac:dyDescent="0.25" r="65" customHeight="1" ht="18">
      <c r="A65" s="1" t="s">
        <v>159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3" t="s">
        <v>112</v>
      </c>
      <c r="Y65" s="3" t="s">
        <v>112</v>
      </c>
      <c r="Z65" s="3" t="s">
        <v>112</v>
      </c>
      <c r="AA65" s="3" t="s">
        <v>112</v>
      </c>
      <c r="AB65" s="3" t="s">
        <v>112</v>
      </c>
      <c r="AC65" s="3" t="s">
        <v>112</v>
      </c>
      <c r="AD65" s="3" t="s">
        <v>112</v>
      </c>
      <c r="AE65" s="1" t="s">
        <v>112</v>
      </c>
      <c r="AF65" s="3" t="s">
        <v>112</v>
      </c>
      <c r="AG65" s="3" t="s">
        <v>112</v>
      </c>
      <c r="AH65" s="3" t="s">
        <v>112</v>
      </c>
      <c r="AI65" s="3"/>
      <c r="AJ65" s="3"/>
      <c r="AK65" s="3"/>
      <c r="AL65" s="3"/>
      <c r="AM65" s="3"/>
      <c r="AN65" s="3"/>
      <c r="AO65" s="1"/>
      <c r="AP65" s="3"/>
      <c r="AQ65" s="3"/>
      <c r="AR65" s="3"/>
      <c r="AS65" s="3"/>
      <c r="AT65" s="3"/>
      <c r="AU65" s="3"/>
      <c r="AV65" s="3"/>
      <c r="AW65" s="3"/>
      <c r="AX65" s="3"/>
      <c r="AY65" s="1"/>
      <c r="AZ65" s="3"/>
      <c r="BA65" s="3"/>
      <c r="BB65" s="3"/>
      <c r="BC65" s="3"/>
      <c r="BD65" s="3"/>
      <c r="BE65" s="3"/>
      <c r="BF65" s="3"/>
      <c r="BG65" s="3"/>
      <c r="BH65" s="3"/>
      <c r="BI65" s="1"/>
      <c r="BJ65" s="3"/>
      <c r="BK65" s="3"/>
      <c r="BL65" s="3"/>
      <c r="BM65" s="3"/>
      <c r="BN65" s="3"/>
      <c r="BO65" s="3"/>
      <c r="BP65" s="3"/>
      <c r="BQ65" s="3"/>
      <c r="BR65" s="3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1"/>
      <c r="CD65" s="3"/>
      <c r="CE65" s="3"/>
      <c r="CF65" s="3"/>
      <c r="CG65" s="3"/>
      <c r="CH65" s="3"/>
      <c r="CI65" s="3"/>
      <c r="CJ65" s="3"/>
      <c r="CK65" s="3"/>
      <c r="CL65" s="3"/>
      <c r="CM65" s="1"/>
      <c r="CN65" s="3"/>
      <c r="CO65" s="3"/>
      <c r="CP65" s="3"/>
      <c r="CQ65" s="3"/>
      <c r="CR65" s="3"/>
      <c r="CS65" s="3"/>
      <c r="CT65" s="3"/>
      <c r="CU65" s="3"/>
    </row>
    <row x14ac:dyDescent="0.25" r="66" customHeight="1" ht="18">
      <c r="A66" s="1" t="s">
        <v>160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3" t="s">
        <v>112</v>
      </c>
      <c r="Y66" s="3" t="s">
        <v>112</v>
      </c>
      <c r="Z66" s="3" t="s">
        <v>112</v>
      </c>
      <c r="AA66" s="3" t="s">
        <v>112</v>
      </c>
      <c r="AB66" s="3" t="s">
        <v>112</v>
      </c>
      <c r="AC66" s="3" t="s">
        <v>112</v>
      </c>
      <c r="AD66" s="3" t="s">
        <v>112</v>
      </c>
      <c r="AE66" s="1" t="s">
        <v>112</v>
      </c>
      <c r="AF66" s="3" t="s">
        <v>112</v>
      </c>
      <c r="AG66" s="3" t="s">
        <v>112</v>
      </c>
      <c r="AH66" s="3" t="s">
        <v>112</v>
      </c>
      <c r="AI66" s="3"/>
      <c r="AJ66" s="3"/>
      <c r="AK66" s="3"/>
      <c r="AL66" s="3"/>
      <c r="AM66" s="3"/>
      <c r="AN66" s="3"/>
      <c r="AO66" s="1"/>
      <c r="AP66" s="3"/>
      <c r="AQ66" s="3"/>
      <c r="AR66" s="3"/>
      <c r="AS66" s="3"/>
      <c r="AT66" s="3"/>
      <c r="AU66" s="3"/>
      <c r="AV66" s="3"/>
      <c r="AW66" s="3"/>
      <c r="AX66" s="3"/>
      <c r="AY66" s="1"/>
      <c r="AZ66" s="3"/>
      <c r="BA66" s="3"/>
      <c r="BB66" s="3"/>
      <c r="BC66" s="3"/>
      <c r="BD66" s="3"/>
      <c r="BE66" s="3"/>
      <c r="BF66" s="3"/>
      <c r="BG66" s="3"/>
      <c r="BH66" s="3"/>
      <c r="BI66" s="1"/>
      <c r="BJ66" s="3"/>
      <c r="BK66" s="3"/>
      <c r="BL66" s="3"/>
      <c r="BM66" s="3"/>
      <c r="BN66" s="3"/>
      <c r="BO66" s="3"/>
      <c r="BP66" s="3"/>
      <c r="BQ66" s="3"/>
      <c r="BR66" s="3"/>
      <c r="BS66" s="1"/>
      <c r="BT66" s="3"/>
      <c r="BU66" s="3"/>
      <c r="BV66" s="3"/>
      <c r="BW66" s="3"/>
      <c r="BX66" s="3"/>
      <c r="BY66" s="3"/>
      <c r="BZ66" s="3"/>
      <c r="CA66" s="3"/>
      <c r="CB66" s="3"/>
      <c r="CC66" s="1"/>
      <c r="CD66" s="3"/>
      <c r="CE66" s="3"/>
      <c r="CF66" s="3"/>
      <c r="CG66" s="3"/>
      <c r="CH66" s="3"/>
      <c r="CI66" s="3"/>
      <c r="CJ66" s="3"/>
      <c r="CK66" s="3"/>
      <c r="CL66" s="3"/>
      <c r="CM66" s="1"/>
      <c r="CN66" s="3"/>
      <c r="CO66" s="3"/>
      <c r="CP66" s="3"/>
      <c r="CQ66" s="3"/>
      <c r="CR66" s="3"/>
      <c r="CS66" s="3"/>
      <c r="CT66" s="3"/>
      <c r="CU66" s="3"/>
    </row>
    <row x14ac:dyDescent="0.25" r="67" customHeight="1" ht="18">
      <c r="A67" s="1" t="s">
        <v>161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3" t="s">
        <v>112</v>
      </c>
      <c r="Y67" s="3" t="s">
        <v>112</v>
      </c>
      <c r="Z67" s="3" t="s">
        <v>112</v>
      </c>
      <c r="AA67" s="3" t="s">
        <v>112</v>
      </c>
      <c r="AB67" s="3" t="s">
        <v>112</v>
      </c>
      <c r="AC67" s="3" t="s">
        <v>112</v>
      </c>
      <c r="AD67" s="3" t="s">
        <v>112</v>
      </c>
      <c r="AE67" s="1" t="s">
        <v>112</v>
      </c>
      <c r="AF67" s="3" t="s">
        <v>112</v>
      </c>
      <c r="AG67" s="3" t="s">
        <v>112</v>
      </c>
      <c r="AH67" s="3" t="s">
        <v>112</v>
      </c>
      <c r="AI67" s="3"/>
      <c r="AJ67" s="3"/>
      <c r="AK67" s="3"/>
      <c r="AL67" s="3"/>
      <c r="AM67" s="3"/>
      <c r="AN67" s="3"/>
      <c r="AO67" s="1"/>
      <c r="AP67" s="3"/>
      <c r="AQ67" s="3"/>
      <c r="AR67" s="3"/>
      <c r="AS67" s="3"/>
      <c r="AT67" s="3"/>
      <c r="AU67" s="3"/>
      <c r="AV67" s="3"/>
      <c r="AW67" s="3"/>
      <c r="AX67" s="3"/>
      <c r="AY67" s="1"/>
      <c r="AZ67" s="3"/>
      <c r="BA67" s="3"/>
      <c r="BB67" s="3"/>
      <c r="BC67" s="3"/>
      <c r="BD67" s="3"/>
      <c r="BE67" s="3"/>
      <c r="BF67" s="3"/>
      <c r="BG67" s="3"/>
      <c r="BH67" s="3"/>
      <c r="BI67" s="1"/>
      <c r="BJ67" s="3"/>
      <c r="BK67" s="3"/>
      <c r="BL67" s="3"/>
      <c r="BM67" s="3"/>
      <c r="BN67" s="3"/>
      <c r="BO67" s="3"/>
      <c r="BP67" s="3"/>
      <c r="BQ67" s="3"/>
      <c r="BR67" s="3"/>
      <c r="BS67" s="1"/>
      <c r="BT67" s="3"/>
      <c r="BU67" s="3"/>
      <c r="BV67" s="3"/>
      <c r="BW67" s="3"/>
      <c r="BX67" s="3"/>
      <c r="BY67" s="3"/>
      <c r="BZ67" s="3"/>
      <c r="CA67" s="3"/>
      <c r="CB67" s="3"/>
      <c r="CC67" s="1"/>
      <c r="CD67" s="3"/>
      <c r="CE67" s="3"/>
      <c r="CF67" s="3"/>
      <c r="CG67" s="3"/>
      <c r="CH67" s="3"/>
      <c r="CI67" s="3"/>
      <c r="CJ67" s="3"/>
      <c r="CK67" s="3"/>
      <c r="CL67" s="3"/>
      <c r="CM67" s="1"/>
      <c r="CN67" s="3"/>
      <c r="CO67" s="3"/>
      <c r="CP67" s="3"/>
      <c r="CQ67" s="3"/>
      <c r="CR67" s="3"/>
      <c r="CS67" s="3"/>
      <c r="CT67" s="3"/>
      <c r="CU67" s="3"/>
    </row>
    <row x14ac:dyDescent="0.25" r="68" customHeight="1" ht="18">
      <c r="A68" s="1" t="s">
        <v>162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3" t="s">
        <v>112</v>
      </c>
      <c r="Y68" s="3" t="s">
        <v>112</v>
      </c>
      <c r="Z68" s="3" t="s">
        <v>112</v>
      </c>
      <c r="AA68" s="3" t="s">
        <v>112</v>
      </c>
      <c r="AB68" s="3" t="s">
        <v>112</v>
      </c>
      <c r="AC68" s="3" t="s">
        <v>112</v>
      </c>
      <c r="AD68" s="3" t="s">
        <v>112</v>
      </c>
      <c r="AE68" s="1" t="s">
        <v>112</v>
      </c>
      <c r="AF68" s="3" t="s">
        <v>112</v>
      </c>
      <c r="AG68" s="3" t="s">
        <v>112</v>
      </c>
      <c r="AH68" s="3" t="s">
        <v>112</v>
      </c>
      <c r="AI68" s="3"/>
      <c r="AJ68" s="3"/>
      <c r="AK68" s="3"/>
      <c r="AL68" s="3"/>
      <c r="AM68" s="3"/>
      <c r="AN68" s="3"/>
      <c r="AO68" s="1"/>
      <c r="AP68" s="3"/>
      <c r="AQ68" s="3"/>
      <c r="AR68" s="3"/>
      <c r="AS68" s="3"/>
      <c r="AT68" s="3"/>
      <c r="AU68" s="3"/>
      <c r="AV68" s="3"/>
      <c r="AW68" s="3"/>
      <c r="AX68" s="3"/>
      <c r="AY68" s="1"/>
      <c r="AZ68" s="3"/>
      <c r="BA68" s="3"/>
      <c r="BB68" s="3"/>
      <c r="BC68" s="3"/>
      <c r="BD68" s="3"/>
      <c r="BE68" s="3"/>
      <c r="BF68" s="3"/>
      <c r="BG68" s="3"/>
      <c r="BH68" s="3"/>
      <c r="BI68" s="1"/>
      <c r="BJ68" s="3"/>
      <c r="BK68" s="3"/>
      <c r="BL68" s="3"/>
      <c r="BM68" s="3"/>
      <c r="BN68" s="3"/>
      <c r="BO68" s="3"/>
      <c r="BP68" s="3"/>
      <c r="BQ68" s="3"/>
      <c r="BR68" s="3"/>
      <c r="BS68" s="1"/>
      <c r="BT68" s="3"/>
      <c r="BU68" s="3"/>
      <c r="BV68" s="3"/>
      <c r="BW68" s="3"/>
      <c r="BX68" s="3"/>
      <c r="BY68" s="3"/>
      <c r="BZ68" s="3"/>
      <c r="CA68" s="3"/>
      <c r="CB68" s="3"/>
      <c r="CC68" s="1"/>
      <c r="CD68" s="3"/>
      <c r="CE68" s="3"/>
      <c r="CF68" s="3"/>
      <c r="CG68" s="3"/>
      <c r="CH68" s="3"/>
      <c r="CI68" s="3"/>
      <c r="CJ68" s="3"/>
      <c r="CK68" s="3"/>
      <c r="CL68" s="3"/>
      <c r="CM68" s="1"/>
      <c r="CN68" s="3"/>
      <c r="CO68" s="3"/>
      <c r="CP68" s="3"/>
      <c r="CQ68" s="3"/>
      <c r="CR68" s="3"/>
      <c r="CS68" s="3"/>
      <c r="CT68" s="3"/>
      <c r="CU68" s="3"/>
    </row>
    <row x14ac:dyDescent="0.25" r="69" customHeight="1" ht="18">
      <c r="A69" s="1" t="s">
        <v>163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3" t="s">
        <v>112</v>
      </c>
      <c r="Y69" s="3" t="s">
        <v>112</v>
      </c>
      <c r="Z69" s="3" t="s">
        <v>112</v>
      </c>
      <c r="AA69" s="3" t="s">
        <v>112</v>
      </c>
      <c r="AB69" s="3" t="s">
        <v>112</v>
      </c>
      <c r="AC69" s="3" t="s">
        <v>112</v>
      </c>
      <c r="AD69" s="3" t="s">
        <v>112</v>
      </c>
      <c r="AE69" s="1" t="s">
        <v>112</v>
      </c>
      <c r="AF69" s="3" t="s">
        <v>112</v>
      </c>
      <c r="AG69" s="3" t="s">
        <v>112</v>
      </c>
      <c r="AH69" s="3" t="s">
        <v>112</v>
      </c>
      <c r="AI69" s="3"/>
      <c r="AJ69" s="3"/>
      <c r="AK69" s="3"/>
      <c r="AL69" s="3"/>
      <c r="AM69" s="3"/>
      <c r="AN69" s="3"/>
      <c r="AO69" s="1"/>
      <c r="AP69" s="3"/>
      <c r="AQ69" s="3"/>
      <c r="AR69" s="3"/>
      <c r="AS69" s="3"/>
      <c r="AT69" s="3"/>
      <c r="AU69" s="3"/>
      <c r="AV69" s="3"/>
      <c r="AW69" s="3"/>
      <c r="AX69" s="3"/>
      <c r="AY69" s="1"/>
      <c r="AZ69" s="3"/>
      <c r="BA69" s="3"/>
      <c r="BB69" s="3"/>
      <c r="BC69" s="3"/>
      <c r="BD69" s="3"/>
      <c r="BE69" s="3"/>
      <c r="BF69" s="3"/>
      <c r="BG69" s="3"/>
      <c r="BH69" s="3"/>
      <c r="BI69" s="1"/>
      <c r="BJ69" s="3"/>
      <c r="BK69" s="3"/>
      <c r="BL69" s="3"/>
      <c r="BM69" s="3"/>
      <c r="BN69" s="3"/>
      <c r="BO69" s="3"/>
      <c r="BP69" s="3"/>
      <c r="BQ69" s="3"/>
      <c r="BR69" s="3"/>
      <c r="BS69" s="1"/>
      <c r="BT69" s="3"/>
      <c r="BU69" s="3"/>
      <c r="BV69" s="3"/>
      <c r="BW69" s="3"/>
      <c r="BX69" s="3"/>
      <c r="BY69" s="3"/>
      <c r="BZ69" s="3"/>
      <c r="CA69" s="3"/>
      <c r="CB69" s="3"/>
      <c r="CC69" s="1"/>
      <c r="CD69" s="3"/>
      <c r="CE69" s="3"/>
      <c r="CF69" s="3"/>
      <c r="CG69" s="3"/>
      <c r="CH69" s="3"/>
      <c r="CI69" s="3"/>
      <c r="CJ69" s="3"/>
      <c r="CK69" s="3"/>
      <c r="CL69" s="3"/>
      <c r="CM69" s="1"/>
      <c r="CN69" s="3"/>
      <c r="CO69" s="3"/>
      <c r="CP69" s="3"/>
      <c r="CQ69" s="3"/>
      <c r="CR69" s="3"/>
      <c r="CS69" s="3"/>
      <c r="CT69" s="3"/>
      <c r="CU69" s="3"/>
    </row>
    <row x14ac:dyDescent="0.25" r="70" customHeight="1" ht="18">
      <c r="A70" s="1" t="s">
        <v>164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3" t="s">
        <v>112</v>
      </c>
      <c r="Y70" s="3" t="s">
        <v>112</v>
      </c>
      <c r="Z70" s="3" t="s">
        <v>112</v>
      </c>
      <c r="AA70" s="3" t="s">
        <v>112</v>
      </c>
      <c r="AB70" s="3" t="s">
        <v>112</v>
      </c>
      <c r="AC70" s="3" t="s">
        <v>112</v>
      </c>
      <c r="AD70" s="3" t="s">
        <v>112</v>
      </c>
      <c r="AE70" s="1" t="s">
        <v>112</v>
      </c>
      <c r="AF70" s="3" t="s">
        <v>112</v>
      </c>
      <c r="AG70" s="3" t="s">
        <v>112</v>
      </c>
      <c r="AH70" s="3" t="s">
        <v>112</v>
      </c>
      <c r="AI70" s="3"/>
      <c r="AJ70" s="3"/>
      <c r="AK70" s="3"/>
      <c r="AL70" s="3"/>
      <c r="AM70" s="3"/>
      <c r="AN70" s="3"/>
      <c r="AO70" s="1"/>
      <c r="AP70" s="3"/>
      <c r="AQ70" s="3"/>
      <c r="AR70" s="3"/>
      <c r="AS70" s="3"/>
      <c r="AT70" s="3"/>
      <c r="AU70" s="3"/>
      <c r="AV70" s="3"/>
      <c r="AW70" s="3"/>
      <c r="AX70" s="3"/>
      <c r="AY70" s="1"/>
      <c r="AZ70" s="3"/>
      <c r="BA70" s="3"/>
      <c r="BB70" s="3"/>
      <c r="BC70" s="3"/>
      <c r="BD70" s="3"/>
      <c r="BE70" s="3"/>
      <c r="BF70" s="3"/>
      <c r="BG70" s="3"/>
      <c r="BH70" s="3"/>
      <c r="BI70" s="1"/>
      <c r="BJ70" s="3"/>
      <c r="BK70" s="3"/>
      <c r="BL70" s="3"/>
      <c r="BM70" s="3"/>
      <c r="BN70" s="3"/>
      <c r="BO70" s="3"/>
      <c r="BP70" s="3"/>
      <c r="BQ70" s="3"/>
      <c r="BR70" s="3"/>
      <c r="BS70" s="1"/>
      <c r="BT70" s="3"/>
      <c r="BU70" s="3"/>
      <c r="BV70" s="3"/>
      <c r="BW70" s="3"/>
      <c r="BX70" s="3"/>
      <c r="BY70" s="3"/>
      <c r="BZ70" s="3"/>
      <c r="CA70" s="3"/>
      <c r="CB70" s="3"/>
      <c r="CC70" s="1"/>
      <c r="CD70" s="3"/>
      <c r="CE70" s="3"/>
      <c r="CF70" s="3"/>
      <c r="CG70" s="3"/>
      <c r="CH70" s="3"/>
      <c r="CI70" s="3"/>
      <c r="CJ70" s="3"/>
      <c r="CK70" s="3"/>
      <c r="CL70" s="3"/>
      <c r="CM70" s="1"/>
      <c r="CN70" s="3"/>
      <c r="CO70" s="3"/>
      <c r="CP70" s="3"/>
      <c r="CQ70" s="3"/>
      <c r="CR70" s="3"/>
      <c r="CS70" s="3"/>
      <c r="CT70" s="3"/>
      <c r="CU70" s="3"/>
    </row>
    <row x14ac:dyDescent="0.25" r="71" customHeight="1" ht="18">
      <c r="A71" s="1" t="s">
        <v>165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3" t="s">
        <v>112</v>
      </c>
      <c r="Y71" s="3" t="s">
        <v>112</v>
      </c>
      <c r="Z71" s="3" t="s">
        <v>112</v>
      </c>
      <c r="AA71" s="3" t="s">
        <v>112</v>
      </c>
      <c r="AB71" s="3" t="s">
        <v>112</v>
      </c>
      <c r="AC71" s="3" t="s">
        <v>112</v>
      </c>
      <c r="AD71" s="3" t="s">
        <v>112</v>
      </c>
      <c r="AE71" s="1" t="s">
        <v>112</v>
      </c>
      <c r="AF71" s="3" t="s">
        <v>112</v>
      </c>
      <c r="AG71" s="3" t="s">
        <v>112</v>
      </c>
      <c r="AH71" s="3" t="s">
        <v>112</v>
      </c>
      <c r="AI71" s="3"/>
      <c r="AJ71" s="3"/>
      <c r="AK71" s="3"/>
      <c r="AL71" s="3"/>
      <c r="AM71" s="3"/>
      <c r="AN71" s="3"/>
      <c r="AO71" s="1"/>
      <c r="AP71" s="3"/>
      <c r="AQ71" s="3"/>
      <c r="AR71" s="3"/>
      <c r="AS71" s="3"/>
      <c r="AT71" s="3"/>
      <c r="AU71" s="3"/>
      <c r="AV71" s="3"/>
      <c r="AW71" s="3"/>
      <c r="AX71" s="3"/>
      <c r="AY71" s="1"/>
      <c r="AZ71" s="3"/>
      <c r="BA71" s="3"/>
      <c r="BB71" s="3"/>
      <c r="BC71" s="3"/>
      <c r="BD71" s="3"/>
      <c r="BE71" s="3"/>
      <c r="BF71" s="3"/>
      <c r="BG71" s="3"/>
      <c r="BH71" s="3"/>
      <c r="BI71" s="1"/>
      <c r="BJ71" s="3"/>
      <c r="BK71" s="3"/>
      <c r="BL71" s="3"/>
      <c r="BM71" s="3"/>
      <c r="BN71" s="3"/>
      <c r="BO71" s="3"/>
      <c r="BP71" s="3"/>
      <c r="BQ71" s="3"/>
      <c r="BR71" s="3"/>
      <c r="BS71" s="1"/>
      <c r="BT71" s="3"/>
      <c r="BU71" s="3"/>
      <c r="BV71" s="3"/>
      <c r="BW71" s="3"/>
      <c r="BX71" s="3"/>
      <c r="BY71" s="3"/>
      <c r="BZ71" s="3"/>
      <c r="CA71" s="3"/>
      <c r="CB71" s="3"/>
      <c r="CC71" s="1"/>
      <c r="CD71" s="3"/>
      <c r="CE71" s="3"/>
      <c r="CF71" s="3"/>
      <c r="CG71" s="3"/>
      <c r="CH71" s="3"/>
      <c r="CI71" s="3"/>
      <c r="CJ71" s="3"/>
      <c r="CK71" s="3"/>
      <c r="CL71" s="3"/>
      <c r="CM71" s="1"/>
      <c r="CN71" s="3"/>
      <c r="CO71" s="3"/>
      <c r="CP71" s="3"/>
      <c r="CQ71" s="3"/>
      <c r="CR71" s="3"/>
      <c r="CS71" s="3"/>
      <c r="CT71" s="3"/>
      <c r="CU71" s="3"/>
    </row>
    <row x14ac:dyDescent="0.25" r="72" customHeight="1" ht="18">
      <c r="A72" s="1" t="s">
        <v>166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3" t="s">
        <v>112</v>
      </c>
      <c r="Y72" s="3" t="s">
        <v>112</v>
      </c>
      <c r="Z72" s="3" t="s">
        <v>112</v>
      </c>
      <c r="AA72" s="3" t="s">
        <v>112</v>
      </c>
      <c r="AB72" s="3" t="s">
        <v>112</v>
      </c>
      <c r="AC72" s="3" t="s">
        <v>112</v>
      </c>
      <c r="AD72" s="3" t="s">
        <v>112</v>
      </c>
      <c r="AE72" s="1" t="s">
        <v>112</v>
      </c>
      <c r="AF72" s="3" t="s">
        <v>112</v>
      </c>
      <c r="AG72" s="3" t="s">
        <v>112</v>
      </c>
      <c r="AH72" s="3" t="s">
        <v>112</v>
      </c>
      <c r="AI72" s="3"/>
      <c r="AJ72" s="3"/>
      <c r="AK72" s="3"/>
      <c r="AL72" s="3"/>
      <c r="AM72" s="3"/>
      <c r="AN72" s="3"/>
      <c r="AO72" s="1"/>
      <c r="AP72" s="3"/>
      <c r="AQ72" s="3"/>
      <c r="AR72" s="3"/>
      <c r="AS72" s="3"/>
      <c r="AT72" s="3"/>
      <c r="AU72" s="3"/>
      <c r="AV72" s="3"/>
      <c r="AW72" s="3"/>
      <c r="AX72" s="3"/>
      <c r="AY72" s="1"/>
      <c r="AZ72" s="3"/>
      <c r="BA72" s="3"/>
      <c r="BB72" s="3"/>
      <c r="BC72" s="3"/>
      <c r="BD72" s="3"/>
      <c r="BE72" s="3"/>
      <c r="BF72" s="3"/>
      <c r="BG72" s="3"/>
      <c r="BH72" s="3"/>
      <c r="BI72" s="1"/>
      <c r="BJ72" s="3"/>
      <c r="BK72" s="3"/>
      <c r="BL72" s="3"/>
      <c r="BM72" s="3"/>
      <c r="BN72" s="3"/>
      <c r="BO72" s="3"/>
      <c r="BP72" s="3"/>
      <c r="BQ72" s="3"/>
      <c r="BR72" s="3"/>
      <c r="BS72" s="1"/>
      <c r="BT72" s="3"/>
      <c r="BU72" s="3"/>
      <c r="BV72" s="3"/>
      <c r="BW72" s="3"/>
      <c r="BX72" s="3"/>
      <c r="BY72" s="3"/>
      <c r="BZ72" s="3"/>
      <c r="CA72" s="3"/>
      <c r="CB72" s="3"/>
      <c r="CC72" s="1"/>
      <c r="CD72" s="3"/>
      <c r="CE72" s="3"/>
      <c r="CF72" s="3"/>
      <c r="CG72" s="3"/>
      <c r="CH72" s="3"/>
      <c r="CI72" s="3"/>
      <c r="CJ72" s="3"/>
      <c r="CK72" s="3"/>
      <c r="CL72" s="3"/>
      <c r="CM72" s="1"/>
      <c r="CN72" s="3"/>
      <c r="CO72" s="3"/>
      <c r="CP72" s="3"/>
      <c r="CQ72" s="3"/>
      <c r="CR72" s="3"/>
      <c r="CS72" s="3"/>
      <c r="CT72" s="3"/>
      <c r="CU72" s="3"/>
    </row>
    <row x14ac:dyDescent="0.25" r="73" customHeight="1" ht="18">
      <c r="A73" s="1" t="s">
        <v>167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3" t="s">
        <v>112</v>
      </c>
      <c r="Y73" s="3" t="s">
        <v>112</v>
      </c>
      <c r="Z73" s="3" t="s">
        <v>112</v>
      </c>
      <c r="AA73" s="3" t="s">
        <v>112</v>
      </c>
      <c r="AB73" s="3" t="s">
        <v>112</v>
      </c>
      <c r="AC73" s="3" t="s">
        <v>112</v>
      </c>
      <c r="AD73" s="3" t="s">
        <v>112</v>
      </c>
      <c r="AE73" s="1" t="s">
        <v>112</v>
      </c>
      <c r="AF73" s="3" t="s">
        <v>112</v>
      </c>
      <c r="AG73" s="3" t="s">
        <v>112</v>
      </c>
      <c r="AH73" s="3" t="s">
        <v>112</v>
      </c>
      <c r="AI73" s="3"/>
      <c r="AJ73" s="3"/>
      <c r="AK73" s="3"/>
      <c r="AL73" s="3"/>
      <c r="AM73" s="3"/>
      <c r="AN73" s="3"/>
      <c r="AO73" s="1"/>
      <c r="AP73" s="3"/>
      <c r="AQ73" s="3"/>
      <c r="AR73" s="3"/>
      <c r="AS73" s="3"/>
      <c r="AT73" s="3"/>
      <c r="AU73" s="3"/>
      <c r="AV73" s="3"/>
      <c r="AW73" s="3"/>
      <c r="AX73" s="3"/>
      <c r="AY73" s="1"/>
      <c r="AZ73" s="3"/>
      <c r="BA73" s="3"/>
      <c r="BB73" s="3"/>
      <c r="BC73" s="3"/>
      <c r="BD73" s="3"/>
      <c r="BE73" s="3"/>
      <c r="BF73" s="3"/>
      <c r="BG73" s="3"/>
      <c r="BH73" s="3"/>
      <c r="BI73" s="1"/>
      <c r="BJ73" s="3"/>
      <c r="BK73" s="3"/>
      <c r="BL73" s="3"/>
      <c r="BM73" s="3"/>
      <c r="BN73" s="3"/>
      <c r="BO73" s="3"/>
      <c r="BP73" s="3"/>
      <c r="BQ73" s="3"/>
      <c r="BR73" s="3"/>
      <c r="BS73" s="1"/>
      <c r="BT73" s="3"/>
      <c r="BU73" s="3"/>
      <c r="BV73" s="3"/>
      <c r="BW73" s="3"/>
      <c r="BX73" s="3"/>
      <c r="BY73" s="3"/>
      <c r="BZ73" s="3"/>
      <c r="CA73" s="3"/>
      <c r="CB73" s="3"/>
      <c r="CC73" s="1"/>
      <c r="CD73" s="3"/>
      <c r="CE73" s="3"/>
      <c r="CF73" s="3"/>
      <c r="CG73" s="3"/>
      <c r="CH73" s="3"/>
      <c r="CI73" s="3"/>
      <c r="CJ73" s="3"/>
      <c r="CK73" s="3"/>
      <c r="CL73" s="3"/>
      <c r="CM73" s="1"/>
      <c r="CN73" s="3"/>
      <c r="CO73" s="3"/>
      <c r="CP73" s="3"/>
      <c r="CQ73" s="3"/>
      <c r="CR73" s="3"/>
      <c r="CS73" s="3"/>
      <c r="CT73" s="3"/>
      <c r="CU73" s="3"/>
    </row>
    <row x14ac:dyDescent="0.25" r="74" customHeight="1" ht="18">
      <c r="A74" s="1" t="s">
        <v>168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3" t="s">
        <v>112</v>
      </c>
      <c r="Y74" s="3" t="s">
        <v>112</v>
      </c>
      <c r="Z74" s="3" t="s">
        <v>112</v>
      </c>
      <c r="AA74" s="3" t="s">
        <v>112</v>
      </c>
      <c r="AB74" s="3" t="s">
        <v>112</v>
      </c>
      <c r="AC74" s="3" t="s">
        <v>112</v>
      </c>
      <c r="AD74" s="3" t="s">
        <v>112</v>
      </c>
      <c r="AE74" s="1" t="s">
        <v>112</v>
      </c>
      <c r="AF74" s="3" t="s">
        <v>112</v>
      </c>
      <c r="AG74" s="3" t="s">
        <v>112</v>
      </c>
      <c r="AH74" s="3" t="s">
        <v>112</v>
      </c>
      <c r="AI74" s="3"/>
      <c r="AJ74" s="3"/>
      <c r="AK74" s="3"/>
      <c r="AL74" s="3"/>
      <c r="AM74" s="3"/>
      <c r="AN74" s="3"/>
      <c r="AO74" s="1"/>
      <c r="AP74" s="3"/>
      <c r="AQ74" s="3"/>
      <c r="AR74" s="3"/>
      <c r="AS74" s="3"/>
      <c r="AT74" s="3"/>
      <c r="AU74" s="3"/>
      <c r="AV74" s="3"/>
      <c r="AW74" s="3"/>
      <c r="AX74" s="3"/>
      <c r="AY74" s="1"/>
      <c r="AZ74" s="3"/>
      <c r="BA74" s="3"/>
      <c r="BB74" s="3"/>
      <c r="BC74" s="3"/>
      <c r="BD74" s="3"/>
      <c r="BE74" s="3"/>
      <c r="BF74" s="3"/>
      <c r="BG74" s="3"/>
      <c r="BH74" s="3"/>
      <c r="BI74" s="1"/>
      <c r="BJ74" s="3"/>
      <c r="BK74" s="3"/>
      <c r="BL74" s="3"/>
      <c r="BM74" s="3"/>
      <c r="BN74" s="3"/>
      <c r="BO74" s="3"/>
      <c r="BP74" s="3"/>
      <c r="BQ74" s="3"/>
      <c r="BR74" s="3"/>
      <c r="BS74" s="1"/>
      <c r="BT74" s="3"/>
      <c r="BU74" s="3"/>
      <c r="BV74" s="3"/>
      <c r="BW74" s="3"/>
      <c r="BX74" s="3"/>
      <c r="BY74" s="3"/>
      <c r="BZ74" s="3"/>
      <c r="CA74" s="3"/>
      <c r="CB74" s="3"/>
      <c r="CC74" s="1"/>
      <c r="CD74" s="3"/>
      <c r="CE74" s="3"/>
      <c r="CF74" s="3"/>
      <c r="CG74" s="3"/>
      <c r="CH74" s="3"/>
      <c r="CI74" s="3"/>
      <c r="CJ74" s="3"/>
      <c r="CK74" s="3"/>
      <c r="CL74" s="3"/>
      <c r="CM74" s="1"/>
      <c r="CN74" s="3"/>
      <c r="CO74" s="3"/>
      <c r="CP74" s="3"/>
      <c r="CQ74" s="3"/>
      <c r="CR74" s="3"/>
      <c r="CS74" s="3"/>
      <c r="CT74" s="3"/>
      <c r="CU74" s="3"/>
    </row>
    <row x14ac:dyDescent="0.25" r="75" customHeight="1" ht="18">
      <c r="A75" s="1" t="s">
        <v>169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3" t="s">
        <v>112</v>
      </c>
      <c r="Y75" s="3" t="s">
        <v>112</v>
      </c>
      <c r="Z75" s="3" t="s">
        <v>112</v>
      </c>
      <c r="AA75" s="3" t="s">
        <v>112</v>
      </c>
      <c r="AB75" s="3" t="s">
        <v>112</v>
      </c>
      <c r="AC75" s="3" t="s">
        <v>112</v>
      </c>
      <c r="AD75" s="3" t="s">
        <v>112</v>
      </c>
      <c r="AE75" s="1" t="s">
        <v>112</v>
      </c>
      <c r="AF75" s="3" t="s">
        <v>112</v>
      </c>
      <c r="AG75" s="3" t="s">
        <v>112</v>
      </c>
      <c r="AH75" s="3" t="s">
        <v>112</v>
      </c>
      <c r="AI75" s="3"/>
      <c r="AJ75" s="3"/>
      <c r="AK75" s="3"/>
      <c r="AL75" s="3"/>
      <c r="AM75" s="3"/>
      <c r="AN75" s="3"/>
      <c r="AO75" s="1"/>
      <c r="AP75" s="3"/>
      <c r="AQ75" s="3"/>
      <c r="AR75" s="3"/>
      <c r="AS75" s="3"/>
      <c r="AT75" s="3"/>
      <c r="AU75" s="3"/>
      <c r="AV75" s="3"/>
      <c r="AW75" s="3"/>
      <c r="AX75" s="3"/>
      <c r="AY75" s="1"/>
      <c r="AZ75" s="3"/>
      <c r="BA75" s="3"/>
      <c r="BB75" s="3"/>
      <c r="BC75" s="3"/>
      <c r="BD75" s="3"/>
      <c r="BE75" s="3"/>
      <c r="BF75" s="3"/>
      <c r="BG75" s="3"/>
      <c r="BH75" s="3"/>
      <c r="BI75" s="1"/>
      <c r="BJ75" s="3"/>
      <c r="BK75" s="3"/>
      <c r="BL75" s="3"/>
      <c r="BM75" s="3"/>
      <c r="BN75" s="3"/>
      <c r="BO75" s="3"/>
      <c r="BP75" s="3"/>
      <c r="BQ75" s="3"/>
      <c r="BR75" s="3"/>
      <c r="BS75" s="1"/>
      <c r="BT75" s="3"/>
      <c r="BU75" s="3"/>
      <c r="BV75" s="3"/>
      <c r="BW75" s="3"/>
      <c r="BX75" s="3"/>
      <c r="BY75" s="3"/>
      <c r="BZ75" s="3"/>
      <c r="CA75" s="3"/>
      <c r="CB75" s="3"/>
      <c r="CC75" s="1"/>
      <c r="CD75" s="3"/>
      <c r="CE75" s="3"/>
      <c r="CF75" s="3"/>
      <c r="CG75" s="3"/>
      <c r="CH75" s="3"/>
      <c r="CI75" s="3"/>
      <c r="CJ75" s="3"/>
      <c r="CK75" s="3"/>
      <c r="CL75" s="3"/>
      <c r="CM75" s="1"/>
      <c r="CN75" s="3"/>
      <c r="CO75" s="3"/>
      <c r="CP75" s="3"/>
      <c r="CQ75" s="3"/>
      <c r="CR75" s="3"/>
      <c r="CS75" s="3"/>
      <c r="CT75" s="3"/>
      <c r="CU7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U13"/>
  <sheetViews>
    <sheetView workbookViewId="0"/>
  </sheetViews>
  <sheetFormatPr defaultRowHeight="15" x14ac:dyDescent="0.25"/>
  <cols>
    <col min="1" max="1" style="5" width="18.005" customWidth="1" bestFit="1"/>
    <col min="2" max="2" style="6" width="27.005" customWidth="1" bestFit="1"/>
    <col min="3" max="3" style="6" width="27.005" customWidth="1" bestFit="1"/>
    <col min="4" max="4" style="6" width="30.005" customWidth="1" bestFit="1"/>
    <col min="5" max="5" style="6" width="32.005" customWidth="1" bestFit="1"/>
    <col min="6" max="6" style="6" width="27.005" customWidth="1" bestFit="1"/>
    <col min="7" max="7" style="6" width="29.005" customWidth="1" bestFit="1"/>
    <col min="8" max="8" style="6" width="27.005" customWidth="1" bestFit="1"/>
    <col min="9" max="9" style="6" width="27.005" customWidth="1" bestFit="1"/>
    <col min="10" max="10" style="6" width="30.005" customWidth="1" bestFit="1"/>
    <col min="11" max="11" style="6" width="32.005" customWidth="1" bestFit="1"/>
    <col min="12" max="12" style="6" width="27.005" customWidth="1" bestFit="1"/>
    <col min="13" max="13" style="6" width="29.005" customWidth="1" bestFit="1"/>
    <col min="14" max="14" style="6" width="29.005" customWidth="1" bestFit="1"/>
    <col min="15" max="15" style="6" width="29.005" customWidth="1" bestFit="1"/>
    <col min="16" max="16" style="6" width="30.005" customWidth="1" bestFit="1"/>
    <col min="17" max="17" style="6" width="32.005" customWidth="1" bestFit="1"/>
    <col min="18" max="18" style="6" width="29.005" customWidth="1" bestFit="1"/>
    <col min="19" max="19" style="6" width="29.005" customWidth="1" bestFit="1"/>
    <col min="20" max="20" style="6" width="29.005" customWidth="1" bestFit="1"/>
    <col min="21" max="21" style="6" width="29.005" customWidth="1" bestFit="1"/>
    <col min="22" max="22" style="6" width="29.005" customWidth="1" bestFit="1"/>
    <col min="23" max="23" style="6" width="30.005" customWidth="1" bestFit="1"/>
    <col min="24" max="24" style="7" width="30.005" customWidth="1" bestFit="1"/>
    <col min="25" max="25" style="7" width="28.005" customWidth="1" bestFit="1"/>
    <col min="26" max="26" style="7" width="32.005" customWidth="1" bestFit="1"/>
    <col min="27" max="27" style="7" width="32.005" customWidth="1" bestFit="1"/>
    <col min="28" max="28" style="7" width="27.005" customWidth="1" bestFit="1"/>
    <col min="29" max="29" style="7" width="29.005" customWidth="1" bestFit="1"/>
    <col min="30" max="30" style="7" width="23.005" customWidth="1" bestFit="1"/>
    <col min="31" max="31" style="5" width="22.005" customWidth="1" bestFit="1"/>
    <col min="32" max="32" style="7" width="26.005" customWidth="1" bestFit="1"/>
    <col min="33" max="33" style="7" width="30.005" customWidth="1" bestFit="1"/>
    <col min="34" max="34" style="7" width="30.005" customWidth="1" bestFit="1"/>
    <col min="35" max="35" style="7" width="28.005" customWidth="1" bestFit="1"/>
    <col min="36" max="36" style="7" width="32.005" customWidth="1" bestFit="1"/>
    <col min="37" max="37" style="7" width="32.005" customWidth="1" bestFit="1"/>
    <col min="38" max="38" style="7" width="27.005" customWidth="1" bestFit="1"/>
    <col min="39" max="39" style="7" width="29.005" customWidth="1" bestFit="1"/>
    <col min="40" max="40" style="7" width="23.005" customWidth="1" bestFit="1"/>
    <col min="41" max="41" style="5" width="22.005" customWidth="1" bestFit="1"/>
    <col min="42" max="42" style="7" width="26.005" customWidth="1" bestFit="1"/>
    <col min="43" max="43" style="7" width="30.005" customWidth="1" bestFit="1"/>
    <col min="44" max="44" style="7" width="30.005" customWidth="1" bestFit="1"/>
    <col min="45" max="45" style="7" width="28.005" customWidth="1" bestFit="1"/>
    <col min="46" max="46" style="7" width="32.005" customWidth="1" bestFit="1"/>
    <col min="47" max="47" style="7" width="32.005" customWidth="1" bestFit="1"/>
    <col min="48" max="48" style="7" width="27.005" customWidth="1" bestFit="1"/>
    <col min="49" max="49" style="7" width="29.005" customWidth="1" bestFit="1"/>
    <col min="50" max="50" style="7" width="23.005" customWidth="1" bestFit="1"/>
    <col min="51" max="51" style="5" width="22.005" customWidth="1" bestFit="1"/>
    <col min="52" max="52" style="7" width="26.005" customWidth="1" bestFit="1"/>
    <col min="53" max="53" style="7" width="30.005" customWidth="1" bestFit="1"/>
    <col min="54" max="54" style="7" width="30.005" customWidth="1" bestFit="1"/>
    <col min="55" max="55" style="7" width="28.005" customWidth="1" bestFit="1"/>
    <col min="56" max="56" style="7" width="32.005" customWidth="1" bestFit="1"/>
    <col min="57" max="57" style="7" width="32.005" customWidth="1" bestFit="1"/>
    <col min="58" max="58" style="7" width="27.005" customWidth="1" bestFit="1"/>
    <col min="59" max="59" style="7" width="29.005" customWidth="1" bestFit="1"/>
    <col min="60" max="60" style="7" width="23.005" customWidth="1" bestFit="1"/>
    <col min="61" max="61" style="5" width="22.005" customWidth="1" bestFit="1"/>
    <col min="62" max="62" style="7" width="26.005" customWidth="1" bestFit="1"/>
    <col min="63" max="63" style="7" width="30.005" customWidth="1" bestFit="1"/>
    <col min="64" max="64" style="7" width="30.005" customWidth="1" bestFit="1"/>
    <col min="65" max="65" style="7" width="28.005" customWidth="1" bestFit="1"/>
    <col min="66" max="66" style="7" width="32.005" customWidth="1" bestFit="1"/>
    <col min="67" max="67" style="7" width="32.005" customWidth="1" bestFit="1"/>
    <col min="68" max="68" style="7" width="27.005" customWidth="1" bestFit="1"/>
    <col min="69" max="69" style="7" width="29.005" customWidth="1" bestFit="1"/>
    <col min="70" max="70" style="7" width="23.005" customWidth="1" bestFit="1"/>
    <col min="71" max="71" style="5" width="22.005" customWidth="1" bestFit="1"/>
    <col min="72" max="72" style="7" width="26.005" customWidth="1" bestFit="1"/>
    <col min="73" max="73" style="7" width="30.005" customWidth="1" bestFit="1"/>
    <col min="74" max="74" style="7" width="30.005" customWidth="1" bestFit="1"/>
    <col min="75" max="75" style="7" width="28.005" customWidth="1" bestFit="1"/>
    <col min="76" max="76" style="7" width="32.005" customWidth="1" bestFit="1"/>
    <col min="77" max="77" style="7" width="32.005" customWidth="1" bestFit="1"/>
    <col min="78" max="78" style="7" width="27.005" customWidth="1" bestFit="1"/>
    <col min="79" max="79" style="7" width="29.005" customWidth="1" bestFit="1"/>
    <col min="80" max="80" style="7" width="23.005" customWidth="1" bestFit="1"/>
    <col min="81" max="81" style="5" width="22.005" customWidth="1" bestFit="1"/>
    <col min="82" max="82" style="7" width="26.005" customWidth="1" bestFit="1"/>
    <col min="83" max="83" style="7" width="30.005" customWidth="1" bestFit="1"/>
    <col min="84" max="84" style="7" width="30.005" customWidth="1" bestFit="1"/>
    <col min="85" max="85" style="7" width="28.005" customWidth="1" bestFit="1"/>
    <col min="86" max="86" style="7" width="32.005" customWidth="1" bestFit="1"/>
    <col min="87" max="87" style="7" width="32.005" customWidth="1" bestFit="1"/>
    <col min="88" max="88" style="7" width="27.005" customWidth="1" bestFit="1"/>
    <col min="89" max="89" style="7" width="29.005" customWidth="1" bestFit="1"/>
    <col min="90" max="90" style="7" width="23.005" customWidth="1" bestFit="1"/>
    <col min="91" max="91" style="5" width="22.005" customWidth="1" bestFit="1"/>
    <col min="92" max="92" style="7" width="26.005" customWidth="1" bestFit="1"/>
    <col min="93" max="93" style="7" width="30.005" customWidth="1" bestFit="1"/>
    <col min="94" max="94" style="7" width="30.005" customWidth="1" bestFit="1"/>
    <col min="95" max="95" style="7" width="28.005" customWidth="1" bestFit="1"/>
    <col min="96" max="96" style="7" width="32.005" customWidth="1" bestFit="1"/>
    <col min="97" max="97" style="7" width="32.005" customWidth="1" bestFit="1"/>
    <col min="98" max="98" style="7" width="27.005" customWidth="1" bestFit="1"/>
    <col min="99" max="99" style="7" width="29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1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1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1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1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1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</row>
    <row x14ac:dyDescent="0.25" r="2" customHeight="1" ht="18">
      <c r="A2" s="1" t="s">
        <v>99</v>
      </c>
      <c r="B2" s="4">
        <v>10169</v>
      </c>
      <c r="C2" s="2" t="s">
        <v>100</v>
      </c>
      <c r="D2" s="4">
        <v>53520</v>
      </c>
      <c r="E2" s="4">
        <v>2074567</v>
      </c>
      <c r="F2" s="4">
        <v>53520</v>
      </c>
      <c r="G2" s="4">
        <v>2074567</v>
      </c>
      <c r="H2" s="4">
        <v>6521</v>
      </c>
      <c r="I2" s="2" t="s">
        <v>101</v>
      </c>
      <c r="J2" s="4">
        <v>34320</v>
      </c>
      <c r="K2" s="4">
        <v>1330328</v>
      </c>
      <c r="L2" s="4">
        <v>34320</v>
      </c>
      <c r="M2" s="4">
        <v>1330328</v>
      </c>
      <c r="N2" s="4">
        <v>1231</v>
      </c>
      <c r="O2" s="2" t="s">
        <v>102</v>
      </c>
      <c r="P2" s="4">
        <v>6480</v>
      </c>
      <c r="Q2" s="4">
        <v>251180</v>
      </c>
      <c r="R2" s="4">
        <v>6480</v>
      </c>
      <c r="S2" s="4">
        <v>251180</v>
      </c>
      <c r="T2" s="4">
        <v>31238</v>
      </c>
      <c r="U2" s="2" t="s">
        <v>103</v>
      </c>
      <c r="V2" s="4">
        <v>0</v>
      </c>
      <c r="W2" s="4">
        <v>0</v>
      </c>
      <c r="X2" s="4">
        <v>164400</v>
      </c>
      <c r="Y2" s="4">
        <v>0</v>
      </c>
      <c r="Z2" s="4">
        <v>0</v>
      </c>
      <c r="AA2" s="4">
        <v>6372551</v>
      </c>
      <c r="AB2" s="4">
        <v>164400</v>
      </c>
      <c r="AC2" s="4">
        <v>6372551</v>
      </c>
      <c r="AD2" s="4">
        <v>31785</v>
      </c>
      <c r="AE2" s="1" t="s">
        <v>104</v>
      </c>
      <c r="AF2" s="4">
        <v>0</v>
      </c>
      <c r="AG2" s="4">
        <v>0</v>
      </c>
      <c r="AH2" s="4">
        <v>167280</v>
      </c>
      <c r="AI2" s="4">
        <v>0</v>
      </c>
      <c r="AJ2" s="4">
        <v>0</v>
      </c>
      <c r="AK2" s="4">
        <v>6484186</v>
      </c>
      <c r="AL2" s="4">
        <v>167280</v>
      </c>
      <c r="AM2" s="4">
        <v>6484186</v>
      </c>
      <c r="AN2" s="4">
        <v>33929</v>
      </c>
      <c r="AO2" s="1" t="s">
        <v>105</v>
      </c>
      <c r="AP2" s="4">
        <v>0</v>
      </c>
      <c r="AQ2" s="4">
        <v>0</v>
      </c>
      <c r="AR2" s="4">
        <v>178560</v>
      </c>
      <c r="AS2" s="4">
        <v>0</v>
      </c>
      <c r="AT2" s="4">
        <v>0</v>
      </c>
      <c r="AU2" s="4">
        <v>6921427</v>
      </c>
      <c r="AV2" s="4">
        <v>178560</v>
      </c>
      <c r="AW2" s="4">
        <v>6921427</v>
      </c>
      <c r="AX2" s="4">
        <v>41271</v>
      </c>
      <c r="AY2" s="1" t="s">
        <v>106</v>
      </c>
      <c r="AZ2" s="4">
        <v>0</v>
      </c>
      <c r="BA2" s="4">
        <v>0</v>
      </c>
      <c r="BB2" s="4">
        <v>217200</v>
      </c>
      <c r="BC2" s="4">
        <v>0</v>
      </c>
      <c r="BD2" s="4">
        <v>0</v>
      </c>
      <c r="BE2" s="4">
        <v>8419209</v>
      </c>
      <c r="BF2" s="4">
        <v>217200</v>
      </c>
      <c r="BG2" s="4">
        <v>8419209</v>
      </c>
      <c r="BH2" s="4">
        <v>55088</v>
      </c>
      <c r="BI2" s="1" t="s">
        <v>107</v>
      </c>
      <c r="BJ2" s="4">
        <v>0</v>
      </c>
      <c r="BK2" s="4">
        <v>0</v>
      </c>
      <c r="BL2" s="4">
        <v>289920</v>
      </c>
      <c r="BM2" s="4">
        <v>0</v>
      </c>
      <c r="BN2" s="4">
        <v>0</v>
      </c>
      <c r="BO2" s="4">
        <v>11238017</v>
      </c>
      <c r="BP2" s="4">
        <v>289920</v>
      </c>
      <c r="BQ2" s="4">
        <v>11238017</v>
      </c>
      <c r="BR2" s="4">
        <v>72189</v>
      </c>
      <c r="BS2" s="1" t="s">
        <v>108</v>
      </c>
      <c r="BT2" s="4">
        <v>0</v>
      </c>
      <c r="BU2" s="4">
        <v>0</v>
      </c>
      <c r="BV2" s="4">
        <v>379920</v>
      </c>
      <c r="BW2" s="4">
        <v>0</v>
      </c>
      <c r="BX2" s="4">
        <v>0</v>
      </c>
      <c r="BY2" s="4">
        <v>14726639</v>
      </c>
      <c r="BZ2" s="4">
        <v>379920</v>
      </c>
      <c r="CA2" s="4">
        <v>14726639</v>
      </c>
      <c r="CB2" s="4">
        <v>76202</v>
      </c>
      <c r="CC2" s="1" t="s">
        <v>109</v>
      </c>
      <c r="CD2" s="4">
        <v>0</v>
      </c>
      <c r="CE2" s="4">
        <v>0</v>
      </c>
      <c r="CF2" s="4">
        <v>401040</v>
      </c>
      <c r="CG2" s="4">
        <v>0</v>
      </c>
      <c r="CH2" s="4">
        <v>0</v>
      </c>
      <c r="CI2" s="4">
        <v>15545303</v>
      </c>
      <c r="CJ2" s="4">
        <v>401040</v>
      </c>
      <c r="CK2" s="4">
        <v>15545303</v>
      </c>
      <c r="CL2" s="4">
        <v>75974</v>
      </c>
      <c r="CM2" s="1" t="s">
        <v>110</v>
      </c>
      <c r="CN2" s="4">
        <v>0</v>
      </c>
      <c r="CO2" s="4">
        <v>0</v>
      </c>
      <c r="CP2" s="4">
        <v>399840</v>
      </c>
      <c r="CQ2" s="4">
        <v>0</v>
      </c>
      <c r="CR2" s="4">
        <v>0</v>
      </c>
      <c r="CS2" s="4">
        <v>15498788</v>
      </c>
      <c r="CT2" s="4">
        <v>399840</v>
      </c>
      <c r="CU2" s="4">
        <v>15498788</v>
      </c>
    </row>
    <row x14ac:dyDescent="0.25" r="3" customHeight="1" ht="18">
      <c r="A3" s="1" t="s">
        <v>111</v>
      </c>
      <c r="B3" s="4">
        <v>0</v>
      </c>
      <c r="C3" s="2" t="s">
        <v>112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2" t="s">
        <v>112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2" t="s">
        <v>112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2" t="s">
        <v>112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1" t="s">
        <v>112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1" t="s">
        <v>112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1" t="s">
        <v>112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1" t="s">
        <v>112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1" t="s">
        <v>112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26404</v>
      </c>
      <c r="CC3" s="1" t="s">
        <v>113</v>
      </c>
      <c r="CD3" s="4">
        <v>0</v>
      </c>
      <c r="CE3" s="4">
        <v>0</v>
      </c>
      <c r="CF3" s="4">
        <v>138960</v>
      </c>
      <c r="CG3" s="4">
        <v>0</v>
      </c>
      <c r="CH3" s="4">
        <v>0</v>
      </c>
      <c r="CI3" s="4">
        <v>5386433</v>
      </c>
      <c r="CJ3" s="4">
        <v>138960</v>
      </c>
      <c r="CK3" s="4">
        <v>5386433</v>
      </c>
      <c r="CL3" s="4">
        <v>0</v>
      </c>
      <c r="CM3" s="1" t="s">
        <v>112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</row>
    <row x14ac:dyDescent="0.25" r="4" customHeight="1" ht="18">
      <c r="A4" s="1" t="s">
        <v>114</v>
      </c>
      <c r="B4" s="4">
        <v>0</v>
      </c>
      <c r="C4" s="2" t="s">
        <v>112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2" t="s">
        <v>112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2" t="s">
        <v>112</v>
      </c>
      <c r="P4" s="4">
        <v>0</v>
      </c>
      <c r="Q4" s="4">
        <v>0</v>
      </c>
      <c r="R4" s="4">
        <v>0</v>
      </c>
      <c r="S4" s="4">
        <v>0</v>
      </c>
      <c r="T4" s="4">
        <v>12349</v>
      </c>
      <c r="U4" s="2" t="s">
        <v>115</v>
      </c>
      <c r="V4" s="4">
        <v>30000</v>
      </c>
      <c r="W4" s="4">
        <v>0</v>
      </c>
      <c r="X4" s="4">
        <v>0</v>
      </c>
      <c r="Y4" s="4">
        <v>2519226</v>
      </c>
      <c r="Z4" s="4">
        <v>0</v>
      </c>
      <c r="AA4" s="4">
        <v>0</v>
      </c>
      <c r="AB4" s="4">
        <v>30000</v>
      </c>
      <c r="AC4" s="4">
        <v>2519226</v>
      </c>
      <c r="AD4" s="4">
        <v>12349</v>
      </c>
      <c r="AE4" s="1" t="s">
        <v>115</v>
      </c>
      <c r="AF4" s="4">
        <v>30000</v>
      </c>
      <c r="AG4" s="4">
        <v>0</v>
      </c>
      <c r="AH4" s="4">
        <v>0</v>
      </c>
      <c r="AI4" s="4">
        <v>2519226</v>
      </c>
      <c r="AJ4" s="4">
        <v>0</v>
      </c>
      <c r="AK4" s="4">
        <v>0</v>
      </c>
      <c r="AL4" s="4">
        <v>30000</v>
      </c>
      <c r="AM4" s="4">
        <v>2519226</v>
      </c>
      <c r="AN4" s="4">
        <v>12349</v>
      </c>
      <c r="AO4" s="1" t="s">
        <v>115</v>
      </c>
      <c r="AP4" s="4">
        <v>30000</v>
      </c>
      <c r="AQ4" s="4">
        <v>0</v>
      </c>
      <c r="AR4" s="4">
        <v>0</v>
      </c>
      <c r="AS4" s="4">
        <v>2519226</v>
      </c>
      <c r="AT4" s="4">
        <v>0</v>
      </c>
      <c r="AU4" s="4">
        <v>0</v>
      </c>
      <c r="AV4" s="4">
        <v>30000</v>
      </c>
      <c r="AW4" s="4">
        <v>2519226</v>
      </c>
      <c r="AX4" s="4">
        <v>5038</v>
      </c>
      <c r="AY4" s="1" t="s">
        <v>116</v>
      </c>
      <c r="AZ4" s="4">
        <v>12240</v>
      </c>
      <c r="BA4" s="4">
        <v>0</v>
      </c>
      <c r="BB4" s="4">
        <v>0</v>
      </c>
      <c r="BC4" s="4">
        <v>1027844</v>
      </c>
      <c r="BD4" s="4">
        <v>0</v>
      </c>
      <c r="BE4" s="4">
        <v>0</v>
      </c>
      <c r="BF4" s="4">
        <v>12240</v>
      </c>
      <c r="BG4" s="4">
        <v>1027844</v>
      </c>
      <c r="BH4" s="4">
        <v>10274</v>
      </c>
      <c r="BI4" s="1" t="s">
        <v>117</v>
      </c>
      <c r="BJ4" s="4">
        <v>24960</v>
      </c>
      <c r="BK4" s="4">
        <v>0</v>
      </c>
      <c r="BL4" s="4">
        <v>0</v>
      </c>
      <c r="BM4" s="4">
        <v>2095996</v>
      </c>
      <c r="BN4" s="4">
        <v>0</v>
      </c>
      <c r="BO4" s="4">
        <v>0</v>
      </c>
      <c r="BP4" s="4">
        <v>24960</v>
      </c>
      <c r="BQ4" s="4">
        <v>2095996</v>
      </c>
      <c r="BR4" s="4">
        <v>16400</v>
      </c>
      <c r="BS4" s="1" t="s">
        <v>118</v>
      </c>
      <c r="BT4" s="4">
        <v>39840</v>
      </c>
      <c r="BU4" s="4">
        <v>0</v>
      </c>
      <c r="BV4" s="4">
        <v>0</v>
      </c>
      <c r="BW4" s="4">
        <v>3345532</v>
      </c>
      <c r="BX4" s="4">
        <v>0</v>
      </c>
      <c r="BY4" s="4">
        <v>0</v>
      </c>
      <c r="BZ4" s="4">
        <v>39840</v>
      </c>
      <c r="CA4" s="4">
        <v>3345532</v>
      </c>
      <c r="CB4" s="4">
        <v>27958</v>
      </c>
      <c r="CC4" s="1" t="s">
        <v>119</v>
      </c>
      <c r="CD4" s="4">
        <v>67920</v>
      </c>
      <c r="CE4" s="4">
        <v>0</v>
      </c>
      <c r="CF4" s="4">
        <v>0</v>
      </c>
      <c r="CG4" s="4">
        <v>5703528</v>
      </c>
      <c r="CH4" s="4">
        <v>0</v>
      </c>
      <c r="CI4" s="4">
        <v>0</v>
      </c>
      <c r="CJ4" s="4">
        <v>67920</v>
      </c>
      <c r="CK4" s="4">
        <v>5703528</v>
      </c>
      <c r="CL4" s="4">
        <v>20549</v>
      </c>
      <c r="CM4" s="1" t="s">
        <v>120</v>
      </c>
      <c r="CN4" s="4">
        <v>49920</v>
      </c>
      <c r="CO4" s="4">
        <v>0</v>
      </c>
      <c r="CP4" s="4">
        <v>0</v>
      </c>
      <c r="CQ4" s="4">
        <v>4191992</v>
      </c>
      <c r="CR4" s="4">
        <v>0</v>
      </c>
      <c r="CS4" s="4">
        <v>0</v>
      </c>
      <c r="CT4" s="4">
        <v>49920</v>
      </c>
      <c r="CU4" s="4">
        <v>4191992</v>
      </c>
    </row>
    <row x14ac:dyDescent="0.25" r="5" customHeight="1" ht="18">
      <c r="A5" s="1" t="s">
        <v>121</v>
      </c>
      <c r="B5" s="4">
        <v>0</v>
      </c>
      <c r="C5" s="2" t="s">
        <v>112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2" t="s">
        <v>112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2" t="s">
        <v>112</v>
      </c>
      <c r="P5" s="4">
        <v>0</v>
      </c>
      <c r="Q5" s="4">
        <v>0</v>
      </c>
      <c r="R5" s="4">
        <v>0</v>
      </c>
      <c r="S5" s="4">
        <v>0</v>
      </c>
      <c r="T5" s="4">
        <v>942</v>
      </c>
      <c r="U5" s="2" t="s">
        <v>122</v>
      </c>
      <c r="V5" s="4">
        <v>0</v>
      </c>
      <c r="W5" s="4">
        <v>2400</v>
      </c>
      <c r="X5" s="4">
        <v>0</v>
      </c>
      <c r="Y5" s="4">
        <v>0</v>
      </c>
      <c r="Z5" s="4">
        <v>192087</v>
      </c>
      <c r="AA5" s="4">
        <v>0</v>
      </c>
      <c r="AB5" s="4">
        <v>2400</v>
      </c>
      <c r="AC5" s="4">
        <v>192087</v>
      </c>
      <c r="AD5" s="4">
        <v>5367</v>
      </c>
      <c r="AE5" s="1" t="s">
        <v>123</v>
      </c>
      <c r="AF5" s="4">
        <v>0</v>
      </c>
      <c r="AG5" s="4">
        <v>13680</v>
      </c>
      <c r="AH5" s="4">
        <v>0</v>
      </c>
      <c r="AI5" s="4">
        <v>0</v>
      </c>
      <c r="AJ5" s="4">
        <v>1094899</v>
      </c>
      <c r="AK5" s="4">
        <v>0</v>
      </c>
      <c r="AL5" s="4">
        <v>13680</v>
      </c>
      <c r="AM5" s="4">
        <v>1094899</v>
      </c>
      <c r="AN5" s="4">
        <v>12994</v>
      </c>
      <c r="AO5" s="1" t="s">
        <v>124</v>
      </c>
      <c r="AP5" s="4">
        <v>0</v>
      </c>
      <c r="AQ5" s="4">
        <v>33120</v>
      </c>
      <c r="AR5" s="4">
        <v>0</v>
      </c>
      <c r="AS5" s="4">
        <v>0</v>
      </c>
      <c r="AT5" s="4">
        <v>2650808</v>
      </c>
      <c r="AU5" s="4">
        <v>0</v>
      </c>
      <c r="AV5" s="4">
        <v>33120</v>
      </c>
      <c r="AW5" s="4">
        <v>2650808</v>
      </c>
      <c r="AX5" s="4">
        <v>6497</v>
      </c>
      <c r="AY5" s="1" t="s">
        <v>125</v>
      </c>
      <c r="AZ5" s="4">
        <v>0</v>
      </c>
      <c r="BA5" s="4">
        <v>16560</v>
      </c>
      <c r="BB5" s="4">
        <v>0</v>
      </c>
      <c r="BC5" s="4">
        <v>0</v>
      </c>
      <c r="BD5" s="4">
        <v>1325404</v>
      </c>
      <c r="BE5" s="4">
        <v>0</v>
      </c>
      <c r="BF5" s="4">
        <v>16560</v>
      </c>
      <c r="BG5" s="4">
        <v>1325404</v>
      </c>
      <c r="BH5" s="4">
        <v>10358</v>
      </c>
      <c r="BI5" s="1" t="s">
        <v>126</v>
      </c>
      <c r="BJ5" s="4">
        <v>0</v>
      </c>
      <c r="BK5" s="4">
        <v>26400</v>
      </c>
      <c r="BL5" s="4">
        <v>0</v>
      </c>
      <c r="BM5" s="4">
        <v>0</v>
      </c>
      <c r="BN5" s="4">
        <v>2112963</v>
      </c>
      <c r="BO5" s="4">
        <v>0</v>
      </c>
      <c r="BP5" s="4">
        <v>26400</v>
      </c>
      <c r="BQ5" s="4">
        <v>2112963</v>
      </c>
      <c r="BR5" s="4">
        <v>12712</v>
      </c>
      <c r="BS5" s="1" t="s">
        <v>127</v>
      </c>
      <c r="BT5" s="4">
        <v>0</v>
      </c>
      <c r="BU5" s="4">
        <v>32400</v>
      </c>
      <c r="BV5" s="4">
        <v>0</v>
      </c>
      <c r="BW5" s="4">
        <v>0</v>
      </c>
      <c r="BX5" s="4">
        <v>2593182</v>
      </c>
      <c r="BY5" s="4">
        <v>0</v>
      </c>
      <c r="BZ5" s="4">
        <v>32400</v>
      </c>
      <c r="CA5" s="4">
        <v>2593182</v>
      </c>
      <c r="CB5" s="4">
        <v>21186</v>
      </c>
      <c r="CC5" s="1" t="s">
        <v>128</v>
      </c>
      <c r="CD5" s="4">
        <v>0</v>
      </c>
      <c r="CE5" s="4">
        <v>54000</v>
      </c>
      <c r="CF5" s="4">
        <v>0</v>
      </c>
      <c r="CG5" s="4">
        <v>0</v>
      </c>
      <c r="CH5" s="4">
        <v>4321970</v>
      </c>
      <c r="CI5" s="4">
        <v>0</v>
      </c>
      <c r="CJ5" s="4">
        <v>54000</v>
      </c>
      <c r="CK5" s="4">
        <v>4321970</v>
      </c>
      <c r="CL5" s="4">
        <v>16855</v>
      </c>
      <c r="CM5" s="1" t="s">
        <v>129</v>
      </c>
      <c r="CN5" s="4">
        <v>0</v>
      </c>
      <c r="CO5" s="4">
        <v>42960</v>
      </c>
      <c r="CP5" s="4">
        <v>0</v>
      </c>
      <c r="CQ5" s="4">
        <v>0</v>
      </c>
      <c r="CR5" s="4">
        <v>3438367</v>
      </c>
      <c r="CS5" s="4">
        <v>0</v>
      </c>
      <c r="CT5" s="4">
        <v>42960</v>
      </c>
      <c r="CU5" s="4">
        <v>3438367</v>
      </c>
    </row>
    <row x14ac:dyDescent="0.25" r="6" customHeight="1" ht="18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3"/>
      <c r="Z6" s="3"/>
      <c r="AA6" s="3"/>
      <c r="AB6" s="3"/>
      <c r="AC6" s="3"/>
      <c r="AD6" s="3"/>
      <c r="AE6" s="1"/>
      <c r="AF6" s="3"/>
      <c r="AG6" s="3"/>
      <c r="AH6" s="3"/>
      <c r="AI6" s="3"/>
      <c r="AJ6" s="3"/>
      <c r="AK6" s="3"/>
      <c r="AL6" s="3"/>
      <c r="AM6" s="3"/>
      <c r="AN6" s="3"/>
      <c r="AO6" s="1"/>
      <c r="AP6" s="3"/>
      <c r="AQ6" s="3"/>
      <c r="AR6" s="3"/>
      <c r="AS6" s="3"/>
      <c r="AT6" s="3"/>
      <c r="AU6" s="3"/>
      <c r="AV6" s="3"/>
      <c r="AW6" s="3"/>
      <c r="AX6" s="3"/>
      <c r="AY6" s="1"/>
      <c r="AZ6" s="3"/>
      <c r="BA6" s="3"/>
      <c r="BB6" s="3"/>
      <c r="BC6" s="3"/>
      <c r="BD6" s="3"/>
      <c r="BE6" s="3"/>
      <c r="BF6" s="3"/>
      <c r="BG6" s="3"/>
      <c r="BH6" s="3"/>
      <c r="BI6" s="1"/>
      <c r="BJ6" s="3"/>
      <c r="BK6" s="3"/>
      <c r="BL6" s="3"/>
      <c r="BM6" s="3"/>
      <c r="BN6" s="3"/>
      <c r="BO6" s="3"/>
      <c r="BP6" s="3"/>
      <c r="BQ6" s="3"/>
      <c r="BR6" s="3"/>
      <c r="BS6" s="1"/>
      <c r="BT6" s="3"/>
      <c r="BU6" s="3"/>
      <c r="BV6" s="3"/>
      <c r="BW6" s="3"/>
      <c r="BX6" s="3"/>
      <c r="BY6" s="3"/>
      <c r="BZ6" s="3"/>
      <c r="CA6" s="3"/>
      <c r="CB6" s="3"/>
      <c r="CC6" s="1"/>
      <c r="CD6" s="3"/>
      <c r="CE6" s="3"/>
      <c r="CF6" s="3"/>
      <c r="CG6" s="3"/>
      <c r="CH6" s="3"/>
      <c r="CI6" s="3"/>
      <c r="CJ6" s="3"/>
      <c r="CK6" s="3"/>
      <c r="CL6" s="3"/>
      <c r="CM6" s="1"/>
      <c r="CN6" s="3"/>
      <c r="CO6" s="3"/>
      <c r="CP6" s="3"/>
      <c r="CQ6" s="3"/>
      <c r="CR6" s="3"/>
      <c r="CS6" s="3"/>
      <c r="CT6" s="3"/>
      <c r="CU6" s="3"/>
    </row>
    <row x14ac:dyDescent="0.25" r="7" customHeight="1" ht="18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3"/>
      <c r="Z7" s="3"/>
      <c r="AA7" s="3"/>
      <c r="AB7" s="3"/>
      <c r="AC7" s="3"/>
      <c r="AD7" s="3"/>
      <c r="AE7" s="1"/>
      <c r="AF7" s="3"/>
      <c r="AG7" s="3"/>
      <c r="AH7" s="3"/>
      <c r="AI7" s="3"/>
      <c r="AJ7" s="3"/>
      <c r="AK7" s="3"/>
      <c r="AL7" s="3"/>
      <c r="AM7" s="3"/>
      <c r="AN7" s="3"/>
      <c r="AO7" s="1"/>
      <c r="AP7" s="3"/>
      <c r="AQ7" s="3"/>
      <c r="AR7" s="3"/>
      <c r="AS7" s="3"/>
      <c r="AT7" s="3"/>
      <c r="AU7" s="3"/>
      <c r="AV7" s="3"/>
      <c r="AW7" s="3"/>
      <c r="AX7" s="3"/>
      <c r="AY7" s="1"/>
      <c r="AZ7" s="3"/>
      <c r="BA7" s="3"/>
      <c r="BB7" s="3"/>
      <c r="BC7" s="3"/>
      <c r="BD7" s="3"/>
      <c r="BE7" s="3"/>
      <c r="BF7" s="3"/>
      <c r="BG7" s="3"/>
      <c r="BH7" s="3"/>
      <c r="BI7" s="1"/>
      <c r="BJ7" s="3"/>
      <c r="BK7" s="3"/>
      <c r="BL7" s="3"/>
      <c r="BM7" s="3"/>
      <c r="BN7" s="3"/>
      <c r="BO7" s="3"/>
      <c r="BP7" s="3"/>
      <c r="BQ7" s="3"/>
      <c r="BR7" s="3"/>
      <c r="BS7" s="1"/>
      <c r="BT7" s="3"/>
      <c r="BU7" s="3"/>
      <c r="BV7" s="3"/>
      <c r="BW7" s="3"/>
      <c r="BX7" s="3"/>
      <c r="BY7" s="3"/>
      <c r="BZ7" s="3"/>
      <c r="CA7" s="3"/>
      <c r="CB7" s="3"/>
      <c r="CC7" s="1"/>
      <c r="CD7" s="3"/>
      <c r="CE7" s="3"/>
      <c r="CF7" s="3"/>
      <c r="CG7" s="3"/>
      <c r="CH7" s="3"/>
      <c r="CI7" s="3"/>
      <c r="CJ7" s="3"/>
      <c r="CK7" s="3"/>
      <c r="CL7" s="3"/>
      <c r="CM7" s="1"/>
      <c r="CN7" s="3"/>
      <c r="CO7" s="3"/>
      <c r="CP7" s="3"/>
      <c r="CQ7" s="3"/>
      <c r="CR7" s="3"/>
      <c r="CS7" s="3"/>
      <c r="CT7" s="3"/>
      <c r="CU7" s="3"/>
    </row>
    <row x14ac:dyDescent="0.25" r="8" customHeight="1" ht="18">
      <c r="A8" s="1" t="s">
        <v>130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3"/>
      <c r="Z8" s="3"/>
      <c r="AA8" s="3"/>
      <c r="AB8" s="3"/>
      <c r="AC8" s="3"/>
      <c r="AD8" s="3"/>
      <c r="AE8" s="1"/>
      <c r="AF8" s="3"/>
      <c r="AG8" s="3"/>
      <c r="AH8" s="3"/>
      <c r="AI8" s="3"/>
      <c r="AJ8" s="3"/>
      <c r="AK8" s="3"/>
      <c r="AL8" s="3"/>
      <c r="AM8" s="3"/>
      <c r="AN8" s="3"/>
      <c r="AO8" s="1"/>
      <c r="AP8" s="3"/>
      <c r="AQ8" s="3"/>
      <c r="AR8" s="3"/>
      <c r="AS8" s="3"/>
      <c r="AT8" s="3"/>
      <c r="AU8" s="3"/>
      <c r="AV8" s="3"/>
      <c r="AW8" s="3"/>
      <c r="AX8" s="3"/>
      <c r="AY8" s="1"/>
      <c r="AZ8" s="3"/>
      <c r="BA8" s="3"/>
      <c r="BB8" s="3"/>
      <c r="BC8" s="3"/>
      <c r="BD8" s="3"/>
      <c r="BE8" s="3"/>
      <c r="BF8" s="3"/>
      <c r="BG8" s="3"/>
      <c r="BH8" s="3"/>
      <c r="BI8" s="1"/>
      <c r="BJ8" s="3"/>
      <c r="BK8" s="3"/>
      <c r="BL8" s="3"/>
      <c r="BM8" s="3"/>
      <c r="BN8" s="3"/>
      <c r="BO8" s="3"/>
      <c r="BP8" s="3"/>
      <c r="BQ8" s="3"/>
      <c r="BR8" s="3"/>
      <c r="BS8" s="1"/>
      <c r="BT8" s="3"/>
      <c r="BU8" s="3"/>
      <c r="BV8" s="3"/>
      <c r="BW8" s="3"/>
      <c r="BX8" s="3"/>
      <c r="BY8" s="3"/>
      <c r="BZ8" s="3"/>
      <c r="CA8" s="3"/>
      <c r="CB8" s="3"/>
      <c r="CC8" s="1"/>
      <c r="CD8" s="3"/>
      <c r="CE8" s="3"/>
      <c r="CF8" s="3"/>
      <c r="CG8" s="3"/>
      <c r="CH8" s="3"/>
      <c r="CI8" s="3"/>
      <c r="CJ8" s="3"/>
      <c r="CK8" s="3"/>
      <c r="CL8" s="3"/>
      <c r="CM8" s="1"/>
      <c r="CN8" s="3"/>
      <c r="CO8" s="3"/>
      <c r="CP8" s="3"/>
      <c r="CQ8" s="3"/>
      <c r="CR8" s="3"/>
      <c r="CS8" s="3"/>
      <c r="CT8" s="3"/>
      <c r="CU8" s="3"/>
    </row>
    <row x14ac:dyDescent="0.25" r="9" customHeight="1" ht="18">
      <c r="A9" s="1" t="s">
        <v>0</v>
      </c>
      <c r="B9" s="2" t="s">
        <v>5</v>
      </c>
      <c r="C9" s="2" t="s">
        <v>11</v>
      </c>
      <c r="D9" s="2" t="s">
        <v>17</v>
      </c>
      <c r="E9" s="2" t="s">
        <v>27</v>
      </c>
      <c r="F9" s="2" t="s">
        <v>37</v>
      </c>
      <c r="G9" s="2" t="s">
        <v>47</v>
      </c>
      <c r="H9" s="2" t="s">
        <v>57</v>
      </c>
      <c r="I9" s="2" t="s">
        <v>67</v>
      </c>
      <c r="J9" s="2" t="s">
        <v>77</v>
      </c>
      <c r="K9" s="2" t="s">
        <v>87</v>
      </c>
      <c r="L9" s="2" t="s">
        <v>97</v>
      </c>
      <c r="M9" s="2" t="s">
        <v>6</v>
      </c>
      <c r="N9" s="2" t="s">
        <v>12</v>
      </c>
      <c r="O9" s="2" t="s">
        <v>18</v>
      </c>
      <c r="P9" s="2" t="s">
        <v>28</v>
      </c>
      <c r="Q9" s="2" t="s">
        <v>38</v>
      </c>
      <c r="R9" s="2" t="s">
        <v>48</v>
      </c>
      <c r="S9" s="2" t="s">
        <v>58</v>
      </c>
      <c r="T9" s="2" t="s">
        <v>68</v>
      </c>
      <c r="U9" s="2" t="s">
        <v>78</v>
      </c>
      <c r="V9" s="2" t="s">
        <v>88</v>
      </c>
      <c r="W9" s="2" t="s">
        <v>98</v>
      </c>
      <c r="X9" s="3" t="s">
        <v>2</v>
      </c>
      <c r="Y9" s="3" t="s">
        <v>8</v>
      </c>
      <c r="Z9" s="3" t="s">
        <v>14</v>
      </c>
      <c r="AA9" s="3" t="s">
        <v>20</v>
      </c>
      <c r="AB9" s="3" t="s">
        <v>30</v>
      </c>
      <c r="AC9" s="3" t="s">
        <v>40</v>
      </c>
      <c r="AD9" s="3" t="s">
        <v>50</v>
      </c>
      <c r="AE9" s="1" t="s">
        <v>60</v>
      </c>
      <c r="AF9" s="3" t="s">
        <v>70</v>
      </c>
      <c r="AG9" s="3" t="s">
        <v>80</v>
      </c>
      <c r="AH9" s="3" t="s">
        <v>90</v>
      </c>
      <c r="AI9" s="3"/>
      <c r="AJ9" s="3"/>
      <c r="AK9" s="3"/>
      <c r="AL9" s="3"/>
      <c r="AM9" s="3"/>
      <c r="AN9" s="3"/>
      <c r="AO9" s="1"/>
      <c r="AP9" s="3"/>
      <c r="AQ9" s="3"/>
      <c r="AR9" s="3"/>
      <c r="AS9" s="3"/>
      <c r="AT9" s="3"/>
      <c r="AU9" s="3"/>
      <c r="AV9" s="3"/>
      <c r="AW9" s="3"/>
      <c r="AX9" s="3"/>
      <c r="AY9" s="1"/>
      <c r="AZ9" s="3"/>
      <c r="BA9" s="3"/>
      <c r="BB9" s="3"/>
      <c r="BC9" s="3"/>
      <c r="BD9" s="3"/>
      <c r="BE9" s="3"/>
      <c r="BF9" s="3"/>
      <c r="BG9" s="3"/>
      <c r="BH9" s="3"/>
      <c r="BI9" s="1"/>
      <c r="BJ9" s="3"/>
      <c r="BK9" s="3"/>
      <c r="BL9" s="3"/>
      <c r="BM9" s="3"/>
      <c r="BN9" s="3"/>
      <c r="BO9" s="3"/>
      <c r="BP9" s="3"/>
      <c r="BQ9" s="3"/>
      <c r="BR9" s="3"/>
      <c r="BS9" s="1"/>
      <c r="BT9" s="3"/>
      <c r="BU9" s="3"/>
      <c r="BV9" s="3"/>
      <c r="BW9" s="3"/>
      <c r="BX9" s="3"/>
      <c r="BY9" s="3"/>
      <c r="BZ9" s="3"/>
      <c r="CA9" s="3"/>
      <c r="CB9" s="3"/>
      <c r="CC9" s="1"/>
      <c r="CD9" s="3"/>
      <c r="CE9" s="3"/>
      <c r="CF9" s="3"/>
      <c r="CG9" s="3"/>
      <c r="CH9" s="3"/>
      <c r="CI9" s="3"/>
      <c r="CJ9" s="3"/>
      <c r="CK9" s="3"/>
      <c r="CL9" s="3"/>
      <c r="CM9" s="1"/>
      <c r="CN9" s="3"/>
      <c r="CO9" s="3"/>
      <c r="CP9" s="3"/>
      <c r="CQ9" s="3"/>
      <c r="CR9" s="3"/>
      <c r="CS9" s="3"/>
      <c r="CT9" s="3"/>
      <c r="CU9" s="3"/>
    </row>
    <row x14ac:dyDescent="0.25" r="10" customHeight="1" ht="18">
      <c r="A10" s="1" t="s">
        <v>99</v>
      </c>
      <c r="B10" s="4">
        <v>53520</v>
      </c>
      <c r="C10" s="4">
        <v>34320</v>
      </c>
      <c r="D10" s="4">
        <v>6480</v>
      </c>
      <c r="E10" s="4">
        <v>164400</v>
      </c>
      <c r="F10" s="4">
        <v>167280</v>
      </c>
      <c r="G10" s="4">
        <v>178560</v>
      </c>
      <c r="H10" s="4">
        <v>217200</v>
      </c>
      <c r="I10" s="4">
        <v>289920</v>
      </c>
      <c r="J10" s="4">
        <v>379920</v>
      </c>
      <c r="K10" s="4">
        <v>401040</v>
      </c>
      <c r="L10" s="4">
        <v>399840</v>
      </c>
      <c r="M10" s="4">
        <v>2074567</v>
      </c>
      <c r="N10" s="4">
        <v>1330328</v>
      </c>
      <c r="O10" s="4">
        <v>251180</v>
      </c>
      <c r="P10" s="4">
        <v>6372551</v>
      </c>
      <c r="Q10" s="4">
        <v>6484186</v>
      </c>
      <c r="R10" s="4">
        <v>6921427</v>
      </c>
      <c r="S10" s="4">
        <v>8419209</v>
      </c>
      <c r="T10" s="4">
        <v>11238017</v>
      </c>
      <c r="U10" s="4">
        <v>14726639</v>
      </c>
      <c r="V10" s="4">
        <v>15545303</v>
      </c>
      <c r="W10" s="4">
        <v>15498788</v>
      </c>
      <c r="X10" s="3" t="s">
        <v>100</v>
      </c>
      <c r="Y10" s="3" t="s">
        <v>101</v>
      </c>
      <c r="Z10" s="3" t="s">
        <v>102</v>
      </c>
      <c r="AA10" s="3" t="s">
        <v>103</v>
      </c>
      <c r="AB10" s="3" t="s">
        <v>104</v>
      </c>
      <c r="AC10" s="3" t="s">
        <v>105</v>
      </c>
      <c r="AD10" s="3" t="s">
        <v>106</v>
      </c>
      <c r="AE10" s="1" t="s">
        <v>107</v>
      </c>
      <c r="AF10" s="3" t="s">
        <v>108</v>
      </c>
      <c r="AG10" s="3" t="s">
        <v>109</v>
      </c>
      <c r="AH10" s="3" t="s">
        <v>110</v>
      </c>
      <c r="AI10" s="3"/>
      <c r="AJ10" s="3"/>
      <c r="AK10" s="3"/>
      <c r="AL10" s="3"/>
      <c r="AM10" s="3"/>
      <c r="AN10" s="3"/>
      <c r="AO10" s="1"/>
      <c r="AP10" s="3"/>
      <c r="AQ10" s="3"/>
      <c r="AR10" s="3"/>
      <c r="AS10" s="3"/>
      <c r="AT10" s="3"/>
      <c r="AU10" s="3"/>
      <c r="AV10" s="3"/>
      <c r="AW10" s="3"/>
      <c r="AX10" s="3"/>
      <c r="AY10" s="1"/>
      <c r="AZ10" s="3"/>
      <c r="BA10" s="3"/>
      <c r="BB10" s="3"/>
      <c r="BC10" s="3"/>
      <c r="BD10" s="3"/>
      <c r="BE10" s="3"/>
      <c r="BF10" s="3"/>
      <c r="BG10" s="3"/>
      <c r="BH10" s="3"/>
      <c r="BI10" s="1"/>
      <c r="BJ10" s="3"/>
      <c r="BK10" s="3"/>
      <c r="BL10" s="3"/>
      <c r="BM10" s="3"/>
      <c r="BN10" s="3"/>
      <c r="BO10" s="3"/>
      <c r="BP10" s="3"/>
      <c r="BQ10" s="3"/>
      <c r="BR10" s="3"/>
      <c r="BS10" s="1"/>
      <c r="BT10" s="3"/>
      <c r="BU10" s="3"/>
      <c r="BV10" s="3"/>
      <c r="BW10" s="3"/>
      <c r="BX10" s="3"/>
      <c r="BY10" s="3"/>
      <c r="BZ10" s="3"/>
      <c r="CA10" s="3"/>
      <c r="CB10" s="3"/>
      <c r="CC10" s="1"/>
      <c r="CD10" s="3"/>
      <c r="CE10" s="3"/>
      <c r="CF10" s="3"/>
      <c r="CG10" s="3"/>
      <c r="CH10" s="3"/>
      <c r="CI10" s="3"/>
      <c r="CJ10" s="3"/>
      <c r="CK10" s="3"/>
      <c r="CL10" s="3"/>
      <c r="CM10" s="1"/>
      <c r="CN10" s="3"/>
      <c r="CO10" s="3"/>
      <c r="CP10" s="3"/>
      <c r="CQ10" s="3"/>
      <c r="CR10" s="3"/>
      <c r="CS10" s="3"/>
      <c r="CT10" s="3"/>
      <c r="CU10" s="3"/>
    </row>
    <row x14ac:dyDescent="0.25" r="11" customHeight="1" ht="18">
      <c r="A11" s="1" t="s">
        <v>111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138960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5386433</v>
      </c>
      <c r="W11" s="4">
        <v>0</v>
      </c>
      <c r="X11" s="3" t="s">
        <v>112</v>
      </c>
      <c r="Y11" s="3" t="s">
        <v>112</v>
      </c>
      <c r="Z11" s="3" t="s">
        <v>112</v>
      </c>
      <c r="AA11" s="3" t="s">
        <v>112</v>
      </c>
      <c r="AB11" s="3" t="s">
        <v>112</v>
      </c>
      <c r="AC11" s="3" t="s">
        <v>112</v>
      </c>
      <c r="AD11" s="3" t="s">
        <v>112</v>
      </c>
      <c r="AE11" s="1" t="s">
        <v>112</v>
      </c>
      <c r="AF11" s="3" t="s">
        <v>112</v>
      </c>
      <c r="AG11" s="3" t="s">
        <v>113</v>
      </c>
      <c r="AH11" s="3" t="s">
        <v>112</v>
      </c>
      <c r="AI11" s="3"/>
      <c r="AJ11" s="3"/>
      <c r="AK11" s="3"/>
      <c r="AL11" s="3"/>
      <c r="AM11" s="3"/>
      <c r="AN11" s="3"/>
      <c r="AO11" s="1"/>
      <c r="AP11" s="3"/>
      <c r="AQ11" s="3"/>
      <c r="AR11" s="3"/>
      <c r="AS11" s="3"/>
      <c r="AT11" s="3"/>
      <c r="AU11" s="3"/>
      <c r="AV11" s="3"/>
      <c r="AW11" s="3"/>
      <c r="AX11" s="3"/>
      <c r="AY11" s="1"/>
      <c r="AZ11" s="3"/>
      <c r="BA11" s="3"/>
      <c r="BB11" s="3"/>
      <c r="BC11" s="3"/>
      <c r="BD11" s="3"/>
      <c r="BE11" s="3"/>
      <c r="BF11" s="3"/>
      <c r="BG11" s="3"/>
      <c r="BH11" s="3"/>
      <c r="BI11" s="1"/>
      <c r="BJ11" s="3"/>
      <c r="BK11" s="3"/>
      <c r="BL11" s="3"/>
      <c r="BM11" s="3"/>
      <c r="BN11" s="3"/>
      <c r="BO11" s="3"/>
      <c r="BP11" s="3"/>
      <c r="BQ11" s="3"/>
      <c r="BR11" s="3"/>
      <c r="BS11" s="1"/>
      <c r="BT11" s="3"/>
      <c r="BU11" s="3"/>
      <c r="BV11" s="3"/>
      <c r="BW11" s="3"/>
      <c r="BX11" s="3"/>
      <c r="BY11" s="3"/>
      <c r="BZ11" s="3"/>
      <c r="CA11" s="3"/>
      <c r="CB11" s="3"/>
      <c r="CC11" s="1"/>
      <c r="CD11" s="3"/>
      <c r="CE11" s="3"/>
      <c r="CF11" s="3"/>
      <c r="CG11" s="3"/>
      <c r="CH11" s="3"/>
      <c r="CI11" s="3"/>
      <c r="CJ11" s="3"/>
      <c r="CK11" s="3"/>
      <c r="CL11" s="3"/>
      <c r="CM11" s="1"/>
      <c r="CN11" s="3"/>
      <c r="CO11" s="3"/>
      <c r="CP11" s="3"/>
      <c r="CQ11" s="3"/>
      <c r="CR11" s="3"/>
      <c r="CS11" s="3"/>
      <c r="CT11" s="3"/>
      <c r="CU11" s="3"/>
    </row>
    <row x14ac:dyDescent="0.25" r="12" customHeight="1" ht="18">
      <c r="A12" s="1" t="s">
        <v>114</v>
      </c>
      <c r="B12" s="4">
        <v>0</v>
      </c>
      <c r="C12" s="4">
        <v>0</v>
      </c>
      <c r="D12" s="4">
        <v>0</v>
      </c>
      <c r="E12" s="4">
        <v>30000</v>
      </c>
      <c r="F12" s="4">
        <v>30000</v>
      </c>
      <c r="G12" s="4">
        <v>30000</v>
      </c>
      <c r="H12" s="4">
        <v>12240</v>
      </c>
      <c r="I12" s="4">
        <v>24960</v>
      </c>
      <c r="J12" s="4">
        <v>39840</v>
      </c>
      <c r="K12" s="4">
        <v>67920</v>
      </c>
      <c r="L12" s="4">
        <v>49920</v>
      </c>
      <c r="M12" s="4">
        <v>0</v>
      </c>
      <c r="N12" s="4">
        <v>0</v>
      </c>
      <c r="O12" s="4">
        <v>0</v>
      </c>
      <c r="P12" s="4">
        <v>2519226</v>
      </c>
      <c r="Q12" s="4">
        <v>2519226</v>
      </c>
      <c r="R12" s="4">
        <v>2519226</v>
      </c>
      <c r="S12" s="4">
        <v>1027844</v>
      </c>
      <c r="T12" s="4">
        <v>2095996</v>
      </c>
      <c r="U12" s="4">
        <v>3345532</v>
      </c>
      <c r="V12" s="4">
        <v>5703528</v>
      </c>
      <c r="W12" s="4">
        <v>4191992</v>
      </c>
      <c r="X12" s="3" t="s">
        <v>112</v>
      </c>
      <c r="Y12" s="3" t="s">
        <v>112</v>
      </c>
      <c r="Z12" s="3" t="s">
        <v>112</v>
      </c>
      <c r="AA12" s="3" t="s">
        <v>115</v>
      </c>
      <c r="AB12" s="3" t="s">
        <v>115</v>
      </c>
      <c r="AC12" s="3" t="s">
        <v>115</v>
      </c>
      <c r="AD12" s="3" t="s">
        <v>116</v>
      </c>
      <c r="AE12" s="1" t="s">
        <v>117</v>
      </c>
      <c r="AF12" s="3" t="s">
        <v>118</v>
      </c>
      <c r="AG12" s="3" t="s">
        <v>119</v>
      </c>
      <c r="AH12" s="3" t="s">
        <v>120</v>
      </c>
      <c r="AI12" s="3"/>
      <c r="AJ12" s="3"/>
      <c r="AK12" s="3"/>
      <c r="AL12" s="3"/>
      <c r="AM12" s="3"/>
      <c r="AN12" s="3"/>
      <c r="AO12" s="1"/>
      <c r="AP12" s="3"/>
      <c r="AQ12" s="3"/>
      <c r="AR12" s="3"/>
      <c r="AS12" s="3"/>
      <c r="AT12" s="3"/>
      <c r="AU12" s="3"/>
      <c r="AV12" s="3"/>
      <c r="AW12" s="3"/>
      <c r="AX12" s="3"/>
      <c r="AY12" s="1"/>
      <c r="AZ12" s="3"/>
      <c r="BA12" s="3"/>
      <c r="BB12" s="3"/>
      <c r="BC12" s="3"/>
      <c r="BD12" s="3"/>
      <c r="BE12" s="3"/>
      <c r="BF12" s="3"/>
      <c r="BG12" s="3"/>
      <c r="BH12" s="3"/>
      <c r="BI12" s="1"/>
      <c r="BJ12" s="3"/>
      <c r="BK12" s="3"/>
      <c r="BL12" s="3"/>
      <c r="BM12" s="3"/>
      <c r="BN12" s="3"/>
      <c r="BO12" s="3"/>
      <c r="BP12" s="3"/>
      <c r="BQ12" s="3"/>
      <c r="BR12" s="3"/>
      <c r="BS12" s="1"/>
      <c r="BT12" s="3"/>
      <c r="BU12" s="3"/>
      <c r="BV12" s="3"/>
      <c r="BW12" s="3"/>
      <c r="BX12" s="3"/>
      <c r="BY12" s="3"/>
      <c r="BZ12" s="3"/>
      <c r="CA12" s="3"/>
      <c r="CB12" s="3"/>
      <c r="CC12" s="1"/>
      <c r="CD12" s="3"/>
      <c r="CE12" s="3"/>
      <c r="CF12" s="3"/>
      <c r="CG12" s="3"/>
      <c r="CH12" s="3"/>
      <c r="CI12" s="3"/>
      <c r="CJ12" s="3"/>
      <c r="CK12" s="3"/>
      <c r="CL12" s="3"/>
      <c r="CM12" s="1"/>
      <c r="CN12" s="3"/>
      <c r="CO12" s="3"/>
      <c r="CP12" s="3"/>
      <c r="CQ12" s="3"/>
      <c r="CR12" s="3"/>
      <c r="CS12" s="3"/>
      <c r="CT12" s="3"/>
      <c r="CU12" s="3"/>
    </row>
    <row x14ac:dyDescent="0.25" r="13" customHeight="1" ht="18">
      <c r="A13" s="1" t="s">
        <v>121</v>
      </c>
      <c r="B13" s="4">
        <v>0</v>
      </c>
      <c r="C13" s="4">
        <v>0</v>
      </c>
      <c r="D13" s="4">
        <v>0</v>
      </c>
      <c r="E13" s="4">
        <v>2400</v>
      </c>
      <c r="F13" s="4">
        <v>13680</v>
      </c>
      <c r="G13" s="4">
        <v>33120</v>
      </c>
      <c r="H13" s="4">
        <v>16560</v>
      </c>
      <c r="I13" s="4">
        <v>26400</v>
      </c>
      <c r="J13" s="4">
        <v>32400</v>
      </c>
      <c r="K13" s="4">
        <v>54000</v>
      </c>
      <c r="L13" s="4">
        <v>42960</v>
      </c>
      <c r="M13" s="4">
        <v>0</v>
      </c>
      <c r="N13" s="4">
        <v>0</v>
      </c>
      <c r="O13" s="4">
        <v>0</v>
      </c>
      <c r="P13" s="4">
        <v>192087</v>
      </c>
      <c r="Q13" s="4">
        <v>1094899</v>
      </c>
      <c r="R13" s="4">
        <v>2650808</v>
      </c>
      <c r="S13" s="4">
        <v>1325404</v>
      </c>
      <c r="T13" s="4">
        <v>2112963</v>
      </c>
      <c r="U13" s="4">
        <v>2593182</v>
      </c>
      <c r="V13" s="4">
        <v>4321970</v>
      </c>
      <c r="W13" s="4">
        <v>3438367</v>
      </c>
      <c r="X13" s="3" t="s">
        <v>112</v>
      </c>
      <c r="Y13" s="3" t="s">
        <v>112</v>
      </c>
      <c r="Z13" s="3" t="s">
        <v>112</v>
      </c>
      <c r="AA13" s="3" t="s">
        <v>122</v>
      </c>
      <c r="AB13" s="3" t="s">
        <v>123</v>
      </c>
      <c r="AC13" s="3" t="s">
        <v>124</v>
      </c>
      <c r="AD13" s="3" t="s">
        <v>125</v>
      </c>
      <c r="AE13" s="1" t="s">
        <v>126</v>
      </c>
      <c r="AF13" s="3" t="s">
        <v>127</v>
      </c>
      <c r="AG13" s="3" t="s">
        <v>128</v>
      </c>
      <c r="AH13" s="3" t="s">
        <v>129</v>
      </c>
      <c r="AI13" s="3"/>
      <c r="AJ13" s="3"/>
      <c r="AK13" s="3"/>
      <c r="AL13" s="3"/>
      <c r="AM13" s="3"/>
      <c r="AN13" s="3"/>
      <c r="AO13" s="1"/>
      <c r="AP13" s="3"/>
      <c r="AQ13" s="3"/>
      <c r="AR13" s="3"/>
      <c r="AS13" s="3"/>
      <c r="AT13" s="3"/>
      <c r="AU13" s="3"/>
      <c r="AV13" s="3"/>
      <c r="AW13" s="3"/>
      <c r="AX13" s="3"/>
      <c r="AY13" s="1"/>
      <c r="AZ13" s="3"/>
      <c r="BA13" s="3"/>
      <c r="BB13" s="3"/>
      <c r="BC13" s="3"/>
      <c r="BD13" s="3"/>
      <c r="BE13" s="3"/>
      <c r="BF13" s="3"/>
      <c r="BG13" s="3"/>
      <c r="BH13" s="3"/>
      <c r="BI13" s="1"/>
      <c r="BJ13" s="3"/>
      <c r="BK13" s="3"/>
      <c r="BL13" s="3"/>
      <c r="BM13" s="3"/>
      <c r="BN13" s="3"/>
      <c r="BO13" s="3"/>
      <c r="BP13" s="3"/>
      <c r="BQ13" s="3"/>
      <c r="BR13" s="3"/>
      <c r="BS13" s="1"/>
      <c r="BT13" s="3"/>
      <c r="BU13" s="3"/>
      <c r="BV13" s="3"/>
      <c r="BW13" s="3"/>
      <c r="BX13" s="3"/>
      <c r="BY13" s="3"/>
      <c r="BZ13" s="3"/>
      <c r="CA13" s="3"/>
      <c r="CB13" s="3"/>
      <c r="CC13" s="1"/>
      <c r="CD13" s="3"/>
      <c r="CE13" s="3"/>
      <c r="CF13" s="3"/>
      <c r="CG13" s="3"/>
      <c r="CH13" s="3"/>
      <c r="CI13" s="3"/>
      <c r="CJ13" s="3"/>
      <c r="CK13" s="3"/>
      <c r="CL13" s="3"/>
      <c r="CM13" s="1"/>
      <c r="CN13" s="3"/>
      <c r="CO13" s="3"/>
      <c r="CP13" s="3"/>
      <c r="CQ13" s="3"/>
      <c r="CR13" s="3"/>
      <c r="CS13" s="3"/>
      <c r="CT13" s="3"/>
      <c r="CU1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20</vt:i4>
      </vt:variant>
    </vt:vector>
  </HeadingPairs>
  <TitlesOfParts>
    <vt:vector baseType="lpstr" size="20">
      <vt:lpstr>Lineas_Produccion</vt:lpstr>
      <vt:lpstr>Modelos</vt:lpstr>
      <vt:lpstr>Volumenes_Produccion</vt:lpstr>
      <vt:lpstr>Plan for run the model</vt:lpstr>
      <vt:lpstr>SMT Settings</vt:lpstr>
      <vt:lpstr>ICT Settings</vt:lpstr>
      <vt:lpstr>WS Settings</vt:lpstr>
      <vt:lpstr>FA Settings</vt:lpstr>
      <vt:lpstr>Test Settings</vt:lpstr>
      <vt:lpstr>Vol all combined</vt:lpstr>
      <vt:lpstr>Resultados_SMT</vt:lpstr>
      <vt:lpstr>Resultados_ICT</vt:lpstr>
      <vt:lpstr>Resultados_Wave Solder</vt:lpstr>
      <vt:lpstr>Resultados_Selective Solder</vt:lpstr>
      <vt:lpstr>Resultados_Conformal</vt:lpstr>
      <vt:lpstr>Resultados_Router</vt:lpstr>
      <vt:lpstr>Resultados_FSW</vt:lpstr>
      <vt:lpstr>Resultados_Final Assembly</vt:lpstr>
      <vt:lpstr>Resultados_Subassembly</vt:lpstr>
      <vt:lpstr>Resultados_Test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2026-01-22T03:14:30.991Z</dcterms:created>
  <dcterms:modified xsi:type="dcterms:W3CDTF">2026-01-22T03:14:30.991Z</dcterms:modified>
</cp:coreProperties>
</file>